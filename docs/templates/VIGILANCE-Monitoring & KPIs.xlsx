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absoe-my.sharepoint.com/personal/gkaravasilis_vilabs_eu/Documents/Επιφάνεια εργασίας/"/>
    </mc:Choice>
  </mc:AlternateContent>
  <xr:revisionPtr revIDLastSave="367" documentId="8_{BBDFF110-5319-44DF-A2D1-7F333BF0C355}" xr6:coauthVersionLast="47" xr6:coauthVersionMax="47" xr10:uidLastSave="{A8A29A5A-2D77-4DCD-91BF-09B71D271BB5}"/>
  <bookViews>
    <workbookView xWindow="-120" yWindow="-120" windowWidth="20730" windowHeight="11040" xr2:uid="{A5CBEDA9-9266-4A2C-80E1-4AB59B3D70C0}"/>
  </bookViews>
  <sheets>
    <sheet name="Marketing Material" sheetId="10" r:id="rId1"/>
    <sheet name="Online Channels" sheetId="1" r:id="rId2"/>
    <sheet name="Media and Videos" sheetId="3" r:id="rId3"/>
    <sheet name="Events Count" sheetId="5" r:id="rId4"/>
    <sheet name="Publications" sheetId="11" r:id="rId5"/>
    <sheet name="Reported activities" sheetId="8" r:id="rId6"/>
    <sheet name="Events list" sheetId="6" r:id="rId7"/>
    <sheet name="Stakeholder Engagement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9" l="1"/>
  <c r="D26" i="1"/>
  <c r="D27" i="1"/>
  <c r="C4" i="3"/>
  <c r="D21" i="1" l="1"/>
  <c r="D20" i="1"/>
  <c r="D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tc={E5427565-EB0B-46F2-A5B0-C76376178AF4}</author>
    <author>tc={10DEA034-988D-4F89-84BF-DD59192B2D31}</author>
    <author>tc={9F41DE54-6432-4511-965F-4714FE5BF17E}</author>
    <author>tc={08749A30-9874-4677-AF5B-FFAE7DB48053}</author>
    <author>tc={F3D43307-1CAD-429F-9D4A-3F1AA76AFC2F}</author>
  </authors>
  <commentList>
    <comment ref="B6" authorId="0" shapeId="0" xr:uid="{E5427565-EB0B-46F2-A5B0-C76376178AF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Blog Articles = Blogs + Event Recaps, Measure Interaction (Likes, Comments,Reposts) from LinkedIn</t>
      </text>
    </comment>
    <comment ref="A9" authorId="1" shapeId="0" xr:uid="{10DEA034-988D-4F89-84BF-DD59192B2D31}">
      <text>
        <t>[Threaded comment]
Your version of Excel allows you to read this threaded comment; however, any edits to it will get removed if the file is opened in a newer version of Excel. Learn more: https://go.microsoft.com/fwlink/?linkid=870924
Comment:
    Ignore it we don't have X account</t>
      </text>
    </comment>
    <comment ref="B12" authorId="2" shapeId="0" xr:uid="{9F41DE54-6432-4511-965F-4714FE5BF17E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counts as Interactions
Reply:
    reactions, comments, reposts</t>
      </text>
    </comment>
    <comment ref="B17" authorId="3" shapeId="0" xr:uid="{08749A30-9874-4677-AF5B-FFAE7DB48053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counts as Interactions</t>
      </text>
    </comment>
    <comment ref="B24" authorId="4" shapeId="0" xr:uid="{F3D43307-1CAD-429F-9D4A-3F1AA76AFC2F}">
      <text>
        <t>[Threaded comment]
Your version of Excel allows you to read this threaded comment; however, any edits to it will get removed if the file is opened in a newer version of Excel. Learn more: https://go.microsoft.com/fwlink/?linkid=870924
Comment:
    Views &amp; Downloads: Every month deduct previous months result to find the total for the current month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tc={CA009632-4848-42DC-930B-054DFF81AB7B}</author>
    <author>tc={12941BF5-00CB-402D-85BF-A96AA96D4D5A}</author>
    <author>tc={C9C7A0EA-63FB-4854-A60F-EA72A5485460}</author>
    <author>tc={3CE733B7-5E42-4E5D-A3E8-1D64FDDB641C}</author>
    <author>tc={D0B04581-BFE7-48CF-A150-964B337ABFB8}</author>
  </authors>
  <commentList>
    <comment ref="B7" authorId="0" shapeId="0" xr:uid="{CA009632-4848-42DC-930B-054DFF81AB7B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speakers from the event list</t>
      </text>
    </comment>
    <comment ref="H7" authorId="1" shapeId="0" xr:uid="{12941BF5-00CB-402D-85BF-A96AA96D4D5A}">
      <text>
        <t>[Threaded comment]
Your version of Excel allows you to read this threaded comment; however, any edits to it will get removed if the file is opened in a newer version of Excel. Learn more: https://go.microsoft.com/fwlink/?linkid=870924
Comment:
    Gkizelis (mod), Manias (VIGI) - count as 2</t>
      </text>
    </comment>
    <comment ref="K7" authorId="2" shapeId="0" xr:uid="{C9C7A0EA-63FB-4854-A60F-EA72A548546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 as 2</t>
      </text>
    </comment>
    <comment ref="B8" authorId="3" shapeId="0" xr:uid="{3CE733B7-5E42-4E5D-A3E8-1D64FDDB6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posts on social media, recap mails to the attendants and so on</t>
      </text>
    </comment>
    <comment ref="H17" authorId="4" shapeId="0" xr:uid="{D0B04581-BFE7-48CF-A150-964B337ABF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tc={71EB60F2-A700-4DFA-8F87-08ECD01A8090}</author>
  </authors>
  <commentList>
    <comment ref="A9" authorId="0" shapeId="0" xr:uid="{71EB60F2-A700-4DFA-8F87-08ECD01A8090}">
      <text>
        <t>[Threaded comment]
Your version of Excel allows you to read this threaded comment; however, any edits to it will get removed if the file is opened in a newer version of Excel. Learn more: https://go.microsoft.com/fwlink/?linkid=870924
Comment:
    cluster is in favor for that</t>
      </text>
    </comment>
  </commentList>
</comments>
</file>

<file path=xl/sharedStrings.xml><?xml version="1.0" encoding="utf-8"?>
<sst xmlns="http://schemas.openxmlformats.org/spreadsheetml/2006/main" count="441" uniqueCount="251">
  <si>
    <t>Projects Overall Target</t>
  </si>
  <si>
    <t>Currently  Achieved</t>
  </si>
  <si>
    <t>YEAR 1 - 2025/2026</t>
  </si>
  <si>
    <t>YEAR 2 - 2026/2027</t>
  </si>
  <si>
    <t>YEAR 3 - 2027/2028</t>
  </si>
  <si>
    <t>M1 - JAN</t>
  </si>
  <si>
    <t>M2 - FEB</t>
  </si>
  <si>
    <t>M3 - MAR</t>
  </si>
  <si>
    <t xml:space="preserve">M4 - APR </t>
  </si>
  <si>
    <t>M5- MAY</t>
  </si>
  <si>
    <t>M6- JUN</t>
  </si>
  <si>
    <t>M7 - JUL</t>
  </si>
  <si>
    <t>M8 - AUG</t>
  </si>
  <si>
    <t>M9 - SEPT</t>
  </si>
  <si>
    <t>M10 - OCT</t>
  </si>
  <si>
    <t>M11 - NOV</t>
  </si>
  <si>
    <t>M12 - DEC</t>
  </si>
  <si>
    <t>M13 -JAN</t>
  </si>
  <si>
    <t>M14 - FEB</t>
  </si>
  <si>
    <t>M15 - MAR</t>
  </si>
  <si>
    <t xml:space="preserve">M16 -APR </t>
  </si>
  <si>
    <t>M17 - MAY</t>
  </si>
  <si>
    <t>M18 - JUN</t>
  </si>
  <si>
    <t>M19 -JUL</t>
  </si>
  <si>
    <t>M20 -AUG</t>
  </si>
  <si>
    <t>M21 - SEP</t>
  </si>
  <si>
    <t>M22 - OCT</t>
  </si>
  <si>
    <t>M23- NOV</t>
  </si>
  <si>
    <t>M24 - DEC</t>
  </si>
  <si>
    <t>M25 -JAN</t>
  </si>
  <si>
    <t>M26 - FEB</t>
  </si>
  <si>
    <t>M27-MAR</t>
  </si>
  <si>
    <t xml:space="preserve">M28- APR </t>
  </si>
  <si>
    <t>M29 - MAY</t>
  </si>
  <si>
    <t>M30 - JUN</t>
  </si>
  <si>
    <t>M31- JUL</t>
  </si>
  <si>
    <t>M32 - AUG</t>
  </si>
  <si>
    <t>M33 - SEPT</t>
  </si>
  <si>
    <t>M34- OCT</t>
  </si>
  <si>
    <t>M35 - NOV</t>
  </si>
  <si>
    <t>M36 - DEC</t>
  </si>
  <si>
    <t>[C7] Marketing pack and
promotional press kit</t>
  </si>
  <si>
    <t>1 Rollup</t>
  </si>
  <si>
    <t>1 Brochure</t>
  </si>
  <si>
    <t>1 Banner</t>
  </si>
  <si>
    <t>2 Factsheets (interim &amp; final)</t>
  </si>
  <si>
    <t>[C8] Project identity/branding</t>
  </si>
  <si>
    <t>Logo</t>
  </si>
  <si>
    <t>Graphics</t>
  </si>
  <si>
    <t>Pitch</t>
  </si>
  <si>
    <t>Webiste</t>
  </si>
  <si>
    <t>[C1]Website</t>
  </si>
  <si>
    <t xml:space="preserve"> Visitors</t>
  </si>
  <si>
    <t>Pageviews</t>
  </si>
  <si>
    <t>&gt;1000</t>
  </si>
  <si>
    <t>Blog Interactions</t>
  </si>
  <si>
    <t>&gt;350</t>
  </si>
  <si>
    <t>Average engagement time per active user</t>
  </si>
  <si>
    <t>Social media</t>
  </si>
  <si>
    <t>[C6.1]Twitter</t>
  </si>
  <si>
    <t>Followers</t>
  </si>
  <si>
    <t>Posts</t>
  </si>
  <si>
    <t>Views (posts)</t>
  </si>
  <si>
    <t>Reactions</t>
  </si>
  <si>
    <t>Comments</t>
  </si>
  <si>
    <t>Reposts</t>
  </si>
  <si>
    <t>[C6.2]Linkedin</t>
  </si>
  <si>
    <t xml:space="preserve">[C6] Social Media Total </t>
  </si>
  <si>
    <t>&gt;1000 followers</t>
  </si>
  <si>
    <t>&gt;800 posts</t>
  </si>
  <si>
    <t>Interactions (posts)</t>
  </si>
  <si>
    <t>&gt;5000 interactions</t>
  </si>
  <si>
    <t>[C6.3]Zenodo,
ResearchGate</t>
  </si>
  <si>
    <t>Views</t>
  </si>
  <si>
    <t>Downloads</t>
  </si>
  <si>
    <t>[C5]YouTube (partially)</t>
  </si>
  <si>
    <t>Subscribers</t>
  </si>
  <si>
    <t>&gt;300 views</t>
  </si>
  <si>
    <t>[D10] Promoting Campaigns (partially)</t>
  </si>
  <si>
    <t>&gt;3 social
media campaigns</t>
  </si>
  <si>
    <t>CRSN Cluster</t>
  </si>
  <si>
    <t>[C2] Web/Social Content, blog posts, articles</t>
  </si>
  <si>
    <t>Y1: &gt;2/month</t>
  </si>
  <si>
    <t>Y2: &gt;3/month</t>
  </si>
  <si>
    <t>Y3: &gt;4/month</t>
  </si>
  <si>
    <t>[C3] Live audience feedback /live
survey in online events</t>
  </si>
  <si>
    <t>&gt;1 live audience survey</t>
  </si>
  <si>
    <t>&gt; 50
responders</t>
  </si>
  <si>
    <t xml:space="preserve">[C4] Digital liaisons with projects </t>
  </si>
  <si>
    <t>&gt;20 backlinks to website</t>
  </si>
  <si>
    <t xml:space="preserve"> &gt;10
common posts</t>
  </si>
  <si>
    <t>[D8] Open access
publications/newsletters</t>
  </si>
  <si>
    <t>≥6 scientific open access publications</t>
  </si>
  <si>
    <t>≥6 newsletters</t>
  </si>
  <si>
    <t>[C9] Press releases, newsletters,
and digital briefs</t>
  </si>
  <si>
    <t>Y1: &gt;3</t>
  </si>
  <si>
    <t>Y2: &gt;5</t>
  </si>
  <si>
    <t xml:space="preserve">Y3: &gt;10 (at least 2/pilot) </t>
  </si>
  <si>
    <t>[D5] Pilot promotional
demonstrations/workshops (partially)</t>
  </si>
  <si>
    <t>&gt;1 demonstration/ pilot video</t>
  </si>
  <si>
    <t>&gt;4 workshops /pilot video</t>
  </si>
  <si>
    <t>[D6] Online and/or Face-toface training/webinars (partially)</t>
  </si>
  <si>
    <t>1 user-guide video</t>
  </si>
  <si>
    <t>[C5] Videos, YouTube channel (partially)</t>
  </si>
  <si>
    <t>1 for added value</t>
  </si>
  <si>
    <t>1/pilot</t>
  </si>
  <si>
    <t>≥3 user guides</t>
  </si>
  <si>
    <t>[D1] Organization/
participation in events /
conferences/ workshops</t>
  </si>
  <si>
    <t>Demonstrations &gt; 3</t>
  </si>
  <si>
    <t>Final conference &gt; 1</t>
  </si>
  <si>
    <t>Attend: workshops &gt;15</t>
  </si>
  <si>
    <t>Attendees: ≥ 450</t>
  </si>
  <si>
    <t>Speakers: ≥ 10</t>
  </si>
  <si>
    <t>Follow-up activities per event: ≥ 5</t>
  </si>
  <si>
    <t>[D2] Common activities with
affiliated projects</t>
  </si>
  <si>
    <t>&gt;4 common events</t>
  </si>
  <si>
    <t>&gt;4 posts in CORDIS</t>
  </si>
  <si>
    <t>[D4] Exhibitions/
demonstrations</t>
  </si>
  <si>
    <t>&gt;3 exhibitions</t>
  </si>
  <si>
    <t>&gt;5 demo days</t>
  </si>
  <si>
    <t>&gt;90 attendees</t>
  </si>
  <si>
    <t>[D5] Pilot promotional
demonstrations/workshops</t>
  </si>
  <si>
    <t>&gt;1 demonstration/pilot</t>
  </si>
  <si>
    <t>&gt;4 workshops /pilot</t>
  </si>
  <si>
    <t>[D6] Online and/or Face-toface training/webinars (Non-IT savvy public
engagement) (partially)</t>
  </si>
  <si>
    <t>&gt;3 webinar/trainings</t>
  </si>
  <si>
    <t>&gt;60 attendees</t>
  </si>
  <si>
    <t>[D7] Clustering, synergies,
and common activities with
affiliated projects</t>
  </si>
  <si>
    <t>6 synergies</t>
  </si>
  <si>
    <t>≥ 6 joint workshops</t>
  </si>
  <si>
    <t>&gt;5 events</t>
  </si>
  <si>
    <t>5 posts in CORDIS</t>
  </si>
  <si>
    <t>&gt;3 networking events</t>
  </si>
  <si>
    <t>Partner</t>
  </si>
  <si>
    <t>Description</t>
  </si>
  <si>
    <t>Activity</t>
  </si>
  <si>
    <t>Month</t>
  </si>
  <si>
    <t>Event URL/Reporting Form</t>
  </si>
  <si>
    <t>Pormotional activities by VIL</t>
  </si>
  <si>
    <t>Industry, business partners</t>
  </si>
  <si>
    <t>Innovators</t>
  </si>
  <si>
    <t>EU Institutions</t>
  </si>
  <si>
    <t>National authorities</t>
  </si>
  <si>
    <t>Regional authorities</t>
  </si>
  <si>
    <t>Local authorities</t>
  </si>
  <si>
    <t>Civil Society</t>
  </si>
  <si>
    <t>Citizens</t>
  </si>
  <si>
    <t>Research communities</t>
  </si>
  <si>
    <t>Specific end user communities</t>
  </si>
  <si>
    <t>International organisation (UN body, OECD, etc.)</t>
  </si>
  <si>
    <t>Other</t>
  </si>
  <si>
    <t>Investors</t>
  </si>
  <si>
    <t>Total Reach</t>
  </si>
  <si>
    <t>EXTRA INFO</t>
  </si>
  <si>
    <t>700 participants</t>
  </si>
  <si>
    <t xml:space="preserve">80 participants </t>
  </si>
  <si>
    <t>M29-APR</t>
  </si>
  <si>
    <t>M7-APR</t>
  </si>
  <si>
    <t xml:space="preserve">M24-SEP </t>
  </si>
  <si>
    <t>Interested Partners</t>
  </si>
  <si>
    <t>Status</t>
  </si>
  <si>
    <t xml:space="preserve">Event </t>
  </si>
  <si>
    <t xml:space="preserve">Dates </t>
  </si>
  <si>
    <t>Location</t>
  </si>
  <si>
    <t xml:space="preserve">Link </t>
  </si>
  <si>
    <t>Type</t>
  </si>
  <si>
    <t xml:space="preserve">Comments </t>
  </si>
  <si>
    <t xml:space="preserve">Important Dates </t>
  </si>
  <si>
    <t xml:space="preserve">Blog  </t>
  </si>
  <si>
    <t xml:space="preserve">Speakers </t>
  </si>
  <si>
    <t xml:space="preserve">Synergies </t>
  </si>
  <si>
    <t>STAM/OTE/Cluster</t>
  </si>
  <si>
    <t>OTE Meetup</t>
  </si>
  <si>
    <t>OTE/GFT/INNOV/Cluster</t>
  </si>
  <si>
    <t>OTE/Cluster</t>
  </si>
  <si>
    <t>STAM</t>
  </si>
  <si>
    <t>DVISOR/UPRC</t>
  </si>
  <si>
    <t>CRSN Cluster - ECSCI Cluster</t>
  </si>
  <si>
    <t>CRSN Cluster, VIGI partn: siemens, uprc, D-visor, STAM, ETRA - ECSCI Cluster</t>
  </si>
  <si>
    <t>DVISOR</t>
  </si>
  <si>
    <t>GFT</t>
  </si>
  <si>
    <t>ECSCI Cluster</t>
  </si>
  <si>
    <t>ECSCI Cluster - UPRC (Manias, Karamolegkos), STAM (Giulia, Gabriel Lanteri)</t>
  </si>
  <si>
    <t>UPRC</t>
  </si>
  <si>
    <t>CRSN CL/OTE</t>
  </si>
  <si>
    <t xml:space="preserve">[D3] Stakeholder, end user
engagement </t>
  </si>
  <si>
    <t>75 real market links</t>
  </si>
  <si>
    <t>&gt;30 adopters</t>
  </si>
  <si>
    <t>&gt;50 testers</t>
  </si>
  <si>
    <t xml:space="preserve">[D9] Stakeholder &amp; end-user
engagement </t>
  </si>
  <si>
    <t>&gt;2 events</t>
  </si>
  <si>
    <t>&gt;2 appearances</t>
  </si>
  <si>
    <t>[C10] Stakeholders’ database and
engagement tracker</t>
  </si>
  <si>
    <t>Y1: &gt;1500 entries</t>
  </si>
  <si>
    <t>Y2: &gt;2500 entries</t>
  </si>
  <si>
    <t>Y3: &gt;4000 entries</t>
  </si>
  <si>
    <t>SUM(E4:AN4)</t>
  </si>
  <si>
    <t>SUM(E6:AN6)</t>
  </si>
  <si>
    <t>SUM(E5:AN5)</t>
  </si>
  <si>
    <t>INT(AVERAGE(E7:AN7)/60) &amp; "m " &amp; ROUND(MOD(AVERAGE(E7:AN7);60);0) &amp; "s"</t>
  </si>
  <si>
    <t>SUM(E15:AN15)</t>
  </si>
  <si>
    <t>SUM(E16:AN16)</t>
  </si>
  <si>
    <t>SUM(E17:AN17)</t>
  </si>
  <si>
    <t>SUM(E18:AN18)</t>
  </si>
  <si>
    <t>SUM(E19:AN19)</t>
  </si>
  <si>
    <t>F24UM(E23:AN23)</t>
  </si>
  <si>
    <t>SUM(E24:AN24)</t>
  </si>
  <si>
    <t>SUM(E25:AN25)</t>
  </si>
  <si>
    <t>COUNTIFS(E28:AN28;"*")</t>
  </si>
  <si>
    <t>SUM(E29:P29)</t>
  </si>
  <si>
    <t>COUNTIFS(E30:AN30;"*")</t>
  </si>
  <si>
    <t>COUNTIFS(E31:AN31;"*")</t>
  </si>
  <si>
    <t>COUNTIFS(E32:AN32;"*")</t>
  </si>
  <si>
    <t>SUM(E33:AN33)</t>
  </si>
  <si>
    <t>SUM(E34:AN34)</t>
  </si>
  <si>
    <t>SUM(E35:AN35)</t>
  </si>
  <si>
    <t>COUNTIFS(D3:AM3;"*")</t>
  </si>
  <si>
    <t>COUNTIFS(D5:O5;"*")</t>
  </si>
  <si>
    <t>COUNTIFS(D6:AM6;"*")</t>
  </si>
  <si>
    <t>COUNTIFS(D7:AM7;"*")</t>
  </si>
  <si>
    <t>COUNTIFS(D8:AM8;"*")</t>
  </si>
  <si>
    <t>COUNTIFS(D9:AM9;"*")</t>
  </si>
  <si>
    <t>COUNTIFS(D10:AM10;"*")</t>
  </si>
  <si>
    <t>COUNTIFS(D11:AM11;"*")</t>
  </si>
  <si>
    <t>COUNTIFS(D12:AM12;"*")</t>
  </si>
  <si>
    <t>COUNTIFS(D13:AM13;"*")</t>
  </si>
  <si>
    <t>COUNTIFS(D3:AM3; "*")</t>
  </si>
  <si>
    <t>COUNTIFS(D4:AM4; "*")</t>
  </si>
  <si>
    <t>COUNTIFS(D5:AM5; "*")</t>
  </si>
  <si>
    <t>SUM(D6:AM6)</t>
  </si>
  <si>
    <t>COUNTIFS(D7:AM7; "*")</t>
  </si>
  <si>
    <t>COUNTIFS(D8:AM8; "*")</t>
  </si>
  <si>
    <t>COUNTIFS(D9:AM9; "*")</t>
  </si>
  <si>
    <t>COUNTIFS(D10:AM10; "*")</t>
  </si>
  <si>
    <t>COUNTIFS(D11:AM11; "*")</t>
  </si>
  <si>
    <t>COUNTIFS(D12:AM12; "*")</t>
  </si>
  <si>
    <t>SUM(D13:AM13)</t>
  </si>
  <si>
    <t>COUNTIFS(D14:AM14; "*")</t>
  </si>
  <si>
    <t>COUNTIFS(D15:AM15; "*")</t>
  </si>
  <si>
    <t>COUNTIFS(D16:AM16; "*")</t>
  </si>
  <si>
    <t>SUM(D17:AM17)</t>
  </si>
  <si>
    <t>COUNTIFS(D18:AM18; "*")</t>
  </si>
  <si>
    <t>COUNTIFS(D19:AM19; "*")</t>
  </si>
  <si>
    <t>COUNTIFS(D20:AM20; "*")</t>
  </si>
  <si>
    <t>COUNTIFS(D21:AM21; "*")</t>
  </si>
  <si>
    <t>COUNTIFS(D22:AM22; "*")</t>
  </si>
  <si>
    <t>COUNTIFS(D6:AM6; "*")</t>
  </si>
  <si>
    <t>SUM(D8:O8)</t>
  </si>
  <si>
    <t>SUM(P9:AA9)+C8</t>
  </si>
  <si>
    <t>COUNTIFS(D4:AM4;"*")</t>
  </si>
  <si>
    <t>COUNTIFS(D5:AM5;"*")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</si>
</sst>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charset val="161"/>
      <scheme val="minor"/>
    </font>
    <font>
      <b/>
      <sz val="11"/>
      <color rgb="FFFFFFFF"/>
      <name val="Calibri"/>
      <family val="2"/>
      <charset val="161"/>
    </font>
    <font>
      <b/>
      <sz val="12"/>
      <color rgb="FFFFFFFF"/>
      <name val="Calibri"/>
      <family val="2"/>
      <charset val="161"/>
    </font>
    <font>
      <sz val="12"/>
      <name val="Calibri"/>
      <family val="2"/>
      <charset val="161"/>
    </font>
    <font>
      <i/>
      <sz val="12"/>
      <color rgb="FF000000"/>
      <name val="Calibri"/>
      <family val="2"/>
      <charset val="161"/>
    </font>
    <font>
      <b/>
      <sz val="12"/>
      <color rgb="FFC00000"/>
      <name val="Calibri"/>
      <family val="2"/>
      <charset val="161"/>
    </font>
    <font>
      <sz val="12"/>
      <color rgb="FF000000"/>
      <name val="Calibri"/>
      <family val="2"/>
      <charset val="161"/>
    </font>
    <font>
      <b/>
      <sz val="12"/>
      <color rgb="FF000000"/>
      <name val="Calibri"/>
      <family val="2"/>
      <charset val="161"/>
    </font>
    <font>
      <b/>
      <sz val="11"/>
      <color rgb="FF366088"/>
      <name val="Calibri"/>
      <family val="2"/>
      <charset val="161"/>
    </font>
    <font>
      <b/>
      <sz val="14"/>
      <color rgb="FF000000"/>
      <name val="Calibri"/>
      <family val="2"/>
    </font>
    <font>
      <sz val="14"/>
      <color rgb="FF000000"/>
      <name val="Calibri"/>
      <family val="2"/>
      <charset val="161"/>
    </font>
    <font>
      <b/>
      <sz val="14"/>
      <color rgb="FF000000"/>
      <name val="Calibri"/>
      <family val="2"/>
      <charset val="161"/>
    </font>
    <font>
      <b/>
      <sz val="12"/>
      <color theme="1"/>
      <name val="Calibri"/>
      <family val="2"/>
    </font>
    <font>
      <b/>
      <sz val="14"/>
      <color theme="0"/>
      <name val="Calibri"/>
      <family val="2"/>
      <charset val="161"/>
    </font>
    <font>
      <u/>
      <sz val="11"/>
      <color theme="10"/>
      <name val="Aptos Narrow"/>
      <family val="2"/>
      <charset val="161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2"/>
      <color theme="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1"/>
      <name val="Calibri"/>
      <family val="2"/>
    </font>
    <font>
      <b/>
      <sz val="12"/>
      <color rgb="FFC00000"/>
      <name val="Calibri"/>
      <family val="2"/>
    </font>
    <font>
      <b/>
      <sz val="14"/>
      <color theme="0"/>
      <name val="Calibri"/>
      <family val="2"/>
    </font>
    <font>
      <b/>
      <sz val="12"/>
      <color rgb="FFC00000"/>
      <name val="Aptos Narrow"/>
      <family val="2"/>
      <charset val="161"/>
      <scheme val="minor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8"/>
      <color theme="0"/>
      <name val="Calibri"/>
      <family val="2"/>
    </font>
    <font>
      <b/>
      <sz val="18"/>
      <color theme="0"/>
      <name val="Aptos Narrow"/>
      <family val="2"/>
      <charset val="161"/>
      <scheme val="minor"/>
    </font>
    <font>
      <sz val="12"/>
      <color theme="1"/>
      <name val="Calibri"/>
    </font>
    <font>
      <b/>
      <sz val="18"/>
      <color theme="0"/>
      <name val="Calibri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EDF2F3"/>
        <bgColor rgb="FF000000"/>
      </patternFill>
    </fill>
    <fill>
      <patternFill patternType="solid">
        <fgColor rgb="FFEDF2F3"/>
        <bgColor rgb="FFFFFFCC"/>
      </patternFill>
    </fill>
    <fill>
      <patternFill patternType="solid">
        <fgColor rgb="FFD0FDFF"/>
        <bgColor rgb="FF000000"/>
      </patternFill>
    </fill>
    <fill>
      <patternFill patternType="solid">
        <fgColor rgb="FFA4EDF5"/>
        <bgColor rgb="FF000000"/>
      </patternFill>
    </fill>
    <fill>
      <patternFill patternType="solid">
        <fgColor rgb="FF366088"/>
        <bgColor rgb="FF000000"/>
      </patternFill>
    </fill>
    <fill>
      <patternFill patternType="solid">
        <fgColor rgb="FF366088"/>
        <bgColor rgb="FF00A79D"/>
      </patternFill>
    </fill>
    <fill>
      <patternFill patternType="solid">
        <fgColor rgb="FF70D8B9"/>
        <bgColor rgb="FF7F7F7F"/>
      </patternFill>
    </fill>
    <fill>
      <patternFill patternType="solid">
        <fgColor rgb="FF70D8B9"/>
        <bgColor rgb="FF000000"/>
      </patternFill>
    </fill>
    <fill>
      <patternFill patternType="solid">
        <fgColor rgb="FFEDF2F3"/>
        <bgColor indexed="64"/>
      </patternFill>
    </fill>
    <fill>
      <patternFill patternType="solid">
        <fgColor rgb="FF36608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D8B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48">
    <xf numFmtId="0" fontId="0" fillId="0" borderId="0" xfId="0"/>
    <xf numFmtId="0" fontId="0" fillId="0" borderId="5" xfId="0" applyBorder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3" fillId="6" borderId="0" xfId="0" applyFont="1" applyFill="1"/>
    <xf numFmtId="0" fontId="5" fillId="2" borderId="0" xfId="0" applyFont="1" applyFill="1"/>
    <xf numFmtId="0" fontId="6" fillId="9" borderId="0" xfId="0" applyFont="1" applyFill="1"/>
    <xf numFmtId="0" fontId="5" fillId="2" borderId="0" xfId="0" applyFont="1" applyFill="1" applyAlignment="1">
      <alignment horizontal="right"/>
    </xf>
    <xf numFmtId="0" fontId="4" fillId="0" borderId="1" xfId="0" applyFont="1" applyBorder="1" applyAlignment="1">
      <alignment horizontal="right" wrapText="1"/>
    </xf>
    <xf numFmtId="0" fontId="0" fillId="0" borderId="4" xfId="0" applyBorder="1"/>
    <xf numFmtId="0" fontId="0" fillId="0" borderId="3" xfId="0" applyBorder="1"/>
    <xf numFmtId="0" fontId="0" fillId="0" borderId="9" xfId="0" applyBorder="1"/>
    <xf numFmtId="0" fontId="0" fillId="10" borderId="0" xfId="0" applyFill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10" borderId="2" xfId="0" applyFill="1" applyBorder="1"/>
    <xf numFmtId="0" fontId="5" fillId="2" borderId="11" xfId="0" applyFont="1" applyFill="1" applyBorder="1"/>
    <xf numFmtId="0" fontId="15" fillId="0" borderId="13" xfId="0" applyFont="1" applyBorder="1" applyAlignment="1">
      <alignment vertical="center" wrapText="1" readingOrder="1"/>
    </xf>
    <xf numFmtId="0" fontId="15" fillId="0" borderId="13" xfId="0" applyFont="1" applyBorder="1" applyAlignment="1">
      <alignment vertical="center" readingOrder="1"/>
    </xf>
    <xf numFmtId="0" fontId="15" fillId="0" borderId="14" xfId="0" applyFont="1" applyBorder="1" applyAlignment="1">
      <alignment vertical="center" readingOrder="1"/>
    </xf>
    <xf numFmtId="0" fontId="15" fillId="0" borderId="0" xfId="0" applyFont="1" applyAlignment="1">
      <alignment vertical="center"/>
    </xf>
    <xf numFmtId="0" fontId="15" fillId="0" borderId="15" xfId="0" applyFont="1" applyBorder="1" applyAlignment="1">
      <alignment vertical="center" readingOrder="1"/>
    </xf>
    <xf numFmtId="0" fontId="15" fillId="0" borderId="12" xfId="0" applyFont="1" applyBorder="1" applyAlignment="1">
      <alignment vertical="center" readingOrder="1"/>
    </xf>
    <xf numFmtId="0" fontId="16" fillId="0" borderId="0" xfId="0" applyFont="1" applyAlignment="1">
      <alignment vertical="center" wrapText="1"/>
    </xf>
    <xf numFmtId="0" fontId="15" fillId="12" borderId="13" xfId="0" applyFont="1" applyFill="1" applyBorder="1" applyAlignment="1">
      <alignment vertical="center" readingOrder="1"/>
    </xf>
    <xf numFmtId="0" fontId="15" fillId="12" borderId="13" xfId="0" applyFont="1" applyFill="1" applyBorder="1" applyAlignment="1">
      <alignment vertical="center" wrapText="1" readingOrder="1"/>
    </xf>
    <xf numFmtId="0" fontId="15" fillId="12" borderId="14" xfId="0" applyFont="1" applyFill="1" applyBorder="1" applyAlignment="1">
      <alignment vertical="center" readingOrder="1"/>
    </xf>
    <xf numFmtId="0" fontId="15" fillId="12" borderId="0" xfId="0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17" fillId="11" borderId="0" xfId="0" applyFont="1" applyFill="1" applyAlignment="1">
      <alignment vertical="center"/>
    </xf>
    <xf numFmtId="0" fontId="17" fillId="11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4" fillId="0" borderId="0" xfId="1" applyAlignment="1">
      <alignment vertical="top"/>
    </xf>
    <xf numFmtId="0" fontId="14" fillId="0" borderId="0" xfId="1" applyAlignment="1">
      <alignment vertical="top" wrapText="1"/>
    </xf>
    <xf numFmtId="0" fontId="14" fillId="0" borderId="0" xfId="1" applyFill="1" applyAlignment="1">
      <alignment vertical="top" wrapText="1"/>
    </xf>
    <xf numFmtId="0" fontId="0" fillId="0" borderId="0" xfId="0" applyAlignment="1">
      <alignment horizontal="center"/>
    </xf>
    <xf numFmtId="0" fontId="14" fillId="0" borderId="0" xfId="1" applyFill="1" applyAlignment="1">
      <alignment vertical="top"/>
    </xf>
    <xf numFmtId="0" fontId="6" fillId="9" borderId="0" xfId="0" applyFont="1" applyFill="1" applyAlignment="1">
      <alignment horizontal="center" vertical="center" wrapText="1"/>
    </xf>
    <xf numFmtId="0" fontId="14" fillId="0" borderId="0" xfId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vertical="top"/>
    </xf>
    <xf numFmtId="0" fontId="19" fillId="0" borderId="0" xfId="0" applyFont="1"/>
    <xf numFmtId="0" fontId="0" fillId="13" borderId="0" xfId="0" applyFill="1" applyAlignment="1">
      <alignment vertical="top"/>
    </xf>
    <xf numFmtId="0" fontId="19" fillId="13" borderId="0" xfId="0" applyFont="1" applyFill="1" applyAlignment="1">
      <alignment vertical="top"/>
    </xf>
    <xf numFmtId="0" fontId="14" fillId="13" borderId="0" xfId="1" applyFill="1" applyBorder="1" applyAlignment="1">
      <alignment vertical="top" wrapText="1"/>
    </xf>
    <xf numFmtId="0" fontId="14" fillId="13" borderId="0" xfId="1" applyFill="1" applyBorder="1" applyAlignment="1">
      <alignment vertical="top"/>
    </xf>
    <xf numFmtId="0" fontId="20" fillId="0" borderId="0" xfId="0" applyFont="1"/>
    <xf numFmtId="0" fontId="8" fillId="5" borderId="0" xfId="0" applyFont="1" applyFill="1" applyAlignment="1">
      <alignment horizontal="center"/>
    </xf>
    <xf numFmtId="0" fontId="0" fillId="0" borderId="16" xfId="0" applyBorder="1"/>
    <xf numFmtId="0" fontId="0" fillId="11" borderId="16" xfId="0" applyFill="1" applyBorder="1"/>
    <xf numFmtId="0" fontId="0" fillId="11" borderId="17" xfId="0" applyFill="1" applyBorder="1"/>
    <xf numFmtId="0" fontId="0" fillId="11" borderId="18" xfId="0" applyFill="1" applyBorder="1"/>
    <xf numFmtId="0" fontId="0" fillId="11" borderId="19" xfId="0" applyFill="1" applyBorder="1"/>
    <xf numFmtId="0" fontId="0" fillId="11" borderId="0" xfId="0" applyFill="1"/>
    <xf numFmtId="0" fontId="0" fillId="11" borderId="20" xfId="0" applyFill="1" applyBorder="1"/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5" fillId="14" borderId="18" xfId="0" applyFont="1" applyFill="1" applyBorder="1"/>
    <xf numFmtId="0" fontId="21" fillId="15" borderId="20" xfId="0" applyFont="1" applyFill="1" applyBorder="1"/>
    <xf numFmtId="0" fontId="21" fillId="15" borderId="23" xfId="0" applyFont="1" applyFill="1" applyBorder="1" applyAlignment="1">
      <alignment wrapText="1"/>
    </xf>
    <xf numFmtId="0" fontId="21" fillId="15" borderId="18" xfId="0" applyFont="1" applyFill="1" applyBorder="1"/>
    <xf numFmtId="0" fontId="21" fillId="15" borderId="23" xfId="0" applyFont="1" applyFill="1" applyBorder="1"/>
    <xf numFmtId="0" fontId="21" fillId="2" borderId="18" xfId="0" applyFont="1" applyFill="1" applyBorder="1"/>
    <xf numFmtId="0" fontId="21" fillId="2" borderId="20" xfId="0" applyFont="1" applyFill="1" applyBorder="1"/>
    <xf numFmtId="0" fontId="13" fillId="11" borderId="16" xfId="0" applyFont="1" applyFill="1" applyBorder="1" applyAlignment="1">
      <alignment horizontal="center" wrapText="1"/>
    </xf>
    <xf numFmtId="0" fontId="21" fillId="2" borderId="18" xfId="0" applyFont="1" applyFill="1" applyBorder="1" applyAlignment="1">
      <alignment horizontal="right"/>
    </xf>
    <xf numFmtId="0" fontId="21" fillId="10" borderId="20" xfId="0" applyFont="1" applyFill="1" applyBorder="1"/>
    <xf numFmtId="0" fontId="21" fillId="10" borderId="18" xfId="0" applyFont="1" applyFill="1" applyBorder="1"/>
    <xf numFmtId="0" fontId="21" fillId="10" borderId="20" xfId="0" applyFont="1" applyFill="1" applyBorder="1" applyAlignment="1">
      <alignment wrapText="1"/>
    </xf>
    <xf numFmtId="0" fontId="21" fillId="10" borderId="23" xfId="0" applyFont="1" applyFill="1" applyBorder="1"/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21" fillId="10" borderId="0" xfId="0" applyFont="1" applyFill="1"/>
    <xf numFmtId="0" fontId="21" fillId="10" borderId="0" xfId="0" applyFont="1" applyFill="1" applyAlignment="1">
      <alignment wrapText="1"/>
    </xf>
    <xf numFmtId="0" fontId="23" fillId="10" borderId="20" xfId="0" applyFont="1" applyFill="1" applyBorder="1"/>
    <xf numFmtId="0" fontId="23" fillId="10" borderId="23" xfId="0" applyFont="1" applyFill="1" applyBorder="1"/>
    <xf numFmtId="0" fontId="5" fillId="2" borderId="18" xfId="0" applyFont="1" applyFill="1" applyBorder="1"/>
    <xf numFmtId="0" fontId="6" fillId="3" borderId="0" xfId="0" applyFont="1" applyFill="1" applyAlignment="1">
      <alignment horizontal="center" vertical="center"/>
    </xf>
    <xf numFmtId="0" fontId="25" fillId="0" borderId="7" xfId="0" applyFont="1" applyBorder="1" applyAlignment="1">
      <alignment horizontal="right" wrapText="1"/>
    </xf>
    <xf numFmtId="0" fontId="25" fillId="0" borderId="1" xfId="0" applyFont="1" applyBorder="1" applyAlignment="1">
      <alignment horizontal="right" wrapText="1"/>
    </xf>
    <xf numFmtId="0" fontId="0" fillId="10" borderId="16" xfId="0" applyFill="1" applyBorder="1"/>
    <xf numFmtId="0" fontId="0" fillId="10" borderId="17" xfId="0" applyFill="1" applyBorder="1"/>
    <xf numFmtId="0" fontId="0" fillId="10" borderId="18" xfId="0" applyFill="1" applyBorder="1"/>
    <xf numFmtId="0" fontId="6" fillId="3" borderId="16" xfId="0" applyFont="1" applyFill="1" applyBorder="1" applyAlignment="1">
      <alignment horizontal="right"/>
    </xf>
    <xf numFmtId="0" fontId="6" fillId="3" borderId="17" xfId="0" applyFont="1" applyFill="1" applyBorder="1"/>
    <xf numFmtId="0" fontId="6" fillId="3" borderId="18" xfId="0" applyFont="1" applyFill="1" applyBorder="1"/>
    <xf numFmtId="0" fontId="6" fillId="3" borderId="19" xfId="0" applyFont="1" applyFill="1" applyBorder="1" applyAlignment="1">
      <alignment horizontal="right"/>
    </xf>
    <xf numFmtId="0" fontId="6" fillId="3" borderId="20" xfId="0" applyFont="1" applyFill="1" applyBorder="1"/>
    <xf numFmtId="0" fontId="3" fillId="3" borderId="19" xfId="0" applyFont="1" applyFill="1" applyBorder="1" applyAlignment="1">
      <alignment horizontal="right"/>
    </xf>
    <xf numFmtId="0" fontId="6" fillId="10" borderId="0" xfId="0" applyFont="1" applyFill="1" applyAlignment="1">
      <alignment horizontal="center" vertical="center"/>
    </xf>
    <xf numFmtId="3" fontId="6" fillId="10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5" fillId="2" borderId="0" xfId="0" applyFont="1" applyFill="1" applyAlignment="1">
      <alignment wrapText="1"/>
    </xf>
    <xf numFmtId="0" fontId="24" fillId="0" borderId="30" xfId="0" applyFont="1" applyBorder="1" applyAlignment="1">
      <alignment horizontal="center" vertical="center" wrapText="1"/>
    </xf>
    <xf numFmtId="0" fontId="21" fillId="10" borderId="17" xfId="0" applyFont="1" applyFill="1" applyBorder="1" applyAlignment="1">
      <alignment wrapText="1"/>
    </xf>
    <xf numFmtId="0" fontId="21" fillId="10" borderId="17" xfId="0" applyFont="1" applyFill="1" applyBorder="1"/>
    <xf numFmtId="0" fontId="5" fillId="2" borderId="22" xfId="0" applyFont="1" applyFill="1" applyBorder="1"/>
    <xf numFmtId="0" fontId="21" fillId="10" borderId="22" xfId="0" applyFont="1" applyFill="1" applyBorder="1" applyAlignment="1">
      <alignment wrapText="1"/>
    </xf>
    <xf numFmtId="0" fontId="5" fillId="2" borderId="17" xfId="0" applyFont="1" applyFill="1" applyBorder="1" applyAlignment="1">
      <alignment wrapText="1"/>
    </xf>
    <xf numFmtId="0" fontId="6" fillId="9" borderId="18" xfId="0" applyFont="1" applyFill="1" applyBorder="1"/>
    <xf numFmtId="0" fontId="21" fillId="10" borderId="22" xfId="0" applyFont="1" applyFill="1" applyBorder="1"/>
    <xf numFmtId="0" fontId="6" fillId="9" borderId="23" xfId="0" applyFont="1" applyFill="1" applyBorder="1"/>
    <xf numFmtId="0" fontId="6" fillId="9" borderId="20" xfId="0" applyFont="1" applyFill="1" applyBorder="1"/>
    <xf numFmtId="0" fontId="5" fillId="2" borderId="17" xfId="0" applyFont="1" applyFill="1" applyBorder="1" applyAlignment="1">
      <alignment horizontal="left" vertical="center"/>
    </xf>
    <xf numFmtId="0" fontId="25" fillId="0" borderId="10" xfId="0" applyFont="1" applyBorder="1" applyAlignment="1">
      <alignment horizontal="right" wrapText="1"/>
    </xf>
    <xf numFmtId="0" fontId="25" fillId="0" borderId="31" xfId="0" applyFont="1" applyBorder="1" applyAlignment="1">
      <alignment horizontal="right" wrapText="1"/>
    </xf>
    <xf numFmtId="0" fontId="26" fillId="0" borderId="0" xfId="0" applyFont="1" applyAlignment="1">
      <alignment horizontal="right" wrapText="1"/>
    </xf>
    <xf numFmtId="0" fontId="25" fillId="0" borderId="17" xfId="0" applyFont="1" applyBorder="1" applyAlignment="1">
      <alignment horizontal="right" wrapText="1"/>
    </xf>
    <xf numFmtId="0" fontId="25" fillId="0" borderId="22" xfId="0" applyFont="1" applyBorder="1" applyAlignment="1">
      <alignment horizontal="right" wrapText="1"/>
    </xf>
    <xf numFmtId="0" fontId="8" fillId="4" borderId="0" xfId="0" applyFont="1" applyFill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5" borderId="27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right"/>
    </xf>
    <xf numFmtId="0" fontId="6" fillId="3" borderId="23" xfId="0" applyFont="1" applyFill="1" applyBorder="1" applyAlignment="1">
      <alignment horizontal="right"/>
    </xf>
    <xf numFmtId="0" fontId="5" fillId="2" borderId="22" xfId="0" applyFont="1" applyFill="1" applyBorder="1" applyAlignment="1">
      <alignment wrapText="1"/>
    </xf>
    <xf numFmtId="0" fontId="6" fillId="9" borderId="17" xfId="0" applyFont="1" applyFill="1" applyBorder="1"/>
    <xf numFmtId="0" fontId="6" fillId="9" borderId="22" xfId="0" applyFont="1" applyFill="1" applyBorder="1"/>
    <xf numFmtId="0" fontId="14" fillId="10" borderId="0" xfId="1" applyFill="1" applyBorder="1" applyAlignment="1">
      <alignment vertical="top" wrapText="1"/>
    </xf>
    <xf numFmtId="0" fontId="14" fillId="10" borderId="0" xfId="1" applyFill="1" applyBorder="1" applyAlignment="1">
      <alignment horizontal="left" vertical="top" wrapText="1"/>
    </xf>
    <xf numFmtId="0" fontId="6" fillId="9" borderId="17" xfId="0" applyFont="1" applyFill="1" applyBorder="1" applyAlignment="1">
      <alignment vertical="center"/>
    </xf>
    <xf numFmtId="0" fontId="22" fillId="11" borderId="29" xfId="0" applyFont="1" applyFill="1" applyBorder="1" applyAlignment="1">
      <alignment horizontal="center" wrapText="1"/>
    </xf>
    <xf numFmtId="0" fontId="21" fillId="0" borderId="28" xfId="0" applyFont="1" applyBorder="1"/>
    <xf numFmtId="0" fontId="8" fillId="17" borderId="32" xfId="0" applyFont="1" applyFill="1" applyBorder="1" applyAlignment="1">
      <alignment horizontal="center"/>
    </xf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0" xfId="0" applyFill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3" fontId="0" fillId="0" borderId="0" xfId="0" applyNumberFormat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11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30" fillId="11" borderId="0" xfId="0" applyFont="1" applyFill="1" applyAlignment="1">
      <alignment horizontal="center"/>
    </xf>
    <xf numFmtId="0" fontId="31" fillId="0" borderId="13" xfId="0" applyFont="1" applyBorder="1" applyAlignment="1">
      <alignment vertical="center" readingOrder="1"/>
    </xf>
    <xf numFmtId="0" fontId="31" fillId="0" borderId="13" xfId="0" applyFont="1" applyBorder="1" applyAlignment="1">
      <alignment vertical="center" wrapText="1" readingOrder="1"/>
    </xf>
    <xf numFmtId="0" fontId="14" fillId="0" borderId="13" xfId="1" applyBorder="1" applyAlignment="1">
      <alignment vertical="center" readingOrder="1"/>
    </xf>
    <xf numFmtId="0" fontId="14" fillId="0" borderId="0" xfId="1" applyAlignment="1">
      <alignment vertical="center"/>
    </xf>
    <xf numFmtId="0" fontId="14" fillId="10" borderId="0" xfId="1" applyFill="1"/>
    <xf numFmtId="0" fontId="0" fillId="10" borderId="0" xfId="0" applyFill="1" applyAlignment="1">
      <alignment horizontal="center" vertical="center" wrapText="1"/>
    </xf>
    <xf numFmtId="0" fontId="31" fillId="19" borderId="13" xfId="0" applyFont="1" applyFill="1" applyBorder="1" applyAlignment="1">
      <alignment vertical="center" readingOrder="1"/>
    </xf>
    <xf numFmtId="15" fontId="31" fillId="0" borderId="13" xfId="0" applyNumberFormat="1" applyFont="1" applyBorder="1" applyAlignment="1">
      <alignment vertical="center" readingOrder="1"/>
    </xf>
    <xf numFmtId="0" fontId="31" fillId="13" borderId="13" xfId="0" applyFont="1" applyFill="1" applyBorder="1" applyAlignment="1">
      <alignment vertical="center" wrapText="1" readingOrder="1"/>
    </xf>
    <xf numFmtId="0" fontId="32" fillId="13" borderId="0" xfId="0" applyFont="1" applyFill="1" applyAlignment="1">
      <alignment vertical="center" wrapText="1"/>
    </xf>
    <xf numFmtId="0" fontId="28" fillId="11" borderId="0" xfId="0" applyFont="1" applyFill="1"/>
    <xf numFmtId="0" fontId="14" fillId="10" borderId="17" xfId="1" applyFill="1" applyBorder="1" applyAlignment="1">
      <alignment wrapText="1"/>
    </xf>
    <xf numFmtId="0" fontId="0" fillId="10" borderId="17" xfId="0" applyFill="1" applyBorder="1" applyAlignment="1">
      <alignment wrapText="1"/>
    </xf>
    <xf numFmtId="0" fontId="15" fillId="20" borderId="13" xfId="0" applyFont="1" applyFill="1" applyBorder="1" applyAlignment="1">
      <alignment vertical="center" wrapText="1" readingOrder="1"/>
    </xf>
    <xf numFmtId="0" fontId="14" fillId="0" borderId="0" xfId="1"/>
    <xf numFmtId="0" fontId="0" fillId="0" borderId="0" xfId="0" applyAlignment="1">
      <alignment wrapText="1"/>
    </xf>
    <xf numFmtId="0" fontId="6" fillId="19" borderId="22" xfId="0" applyFont="1" applyFill="1" applyBorder="1" applyAlignment="1">
      <alignment horizontal="center" vertical="center"/>
    </xf>
    <xf numFmtId="0" fontId="29" fillId="21" borderId="13" xfId="0" applyFont="1" applyFill="1" applyBorder="1" applyAlignment="1">
      <alignment vertical="center" wrapText="1" readingOrder="1"/>
    </xf>
    <xf numFmtId="0" fontId="31" fillId="21" borderId="13" xfId="0" applyFont="1" applyFill="1" applyBorder="1" applyAlignment="1">
      <alignment vertical="center" wrapText="1" readingOrder="1"/>
    </xf>
    <xf numFmtId="0" fontId="29" fillId="21" borderId="13" xfId="0" applyFont="1" applyFill="1" applyBorder="1" applyAlignment="1">
      <alignment vertical="center" readingOrder="1"/>
    </xf>
    <xf numFmtId="0" fontId="31" fillId="21" borderId="13" xfId="0" applyFont="1" applyFill="1" applyBorder="1" applyAlignment="1">
      <alignment vertical="center" readingOrder="1"/>
    </xf>
    <xf numFmtId="0" fontId="15" fillId="21" borderId="0" xfId="0" applyFont="1" applyFill="1" applyAlignment="1">
      <alignment vertical="center"/>
    </xf>
    <xf numFmtId="0" fontId="14" fillId="21" borderId="0" xfId="1" applyFill="1" applyAlignment="1">
      <alignment vertical="center"/>
    </xf>
    <xf numFmtId="0" fontId="14" fillId="21" borderId="13" xfId="1" applyFill="1" applyBorder="1" applyAlignment="1">
      <alignment vertical="center" readingOrder="1"/>
    </xf>
    <xf numFmtId="0" fontId="15" fillId="21" borderId="13" xfId="0" applyFont="1" applyFill="1" applyBorder="1" applyAlignment="1">
      <alignment vertical="center" readingOrder="1"/>
    </xf>
    <xf numFmtId="0" fontId="29" fillId="21" borderId="13" xfId="1" applyFont="1" applyFill="1" applyBorder="1" applyAlignment="1">
      <alignment vertical="center" wrapText="1" readingOrder="1"/>
    </xf>
    <xf numFmtId="0" fontId="15" fillId="21" borderId="14" xfId="0" applyFont="1" applyFill="1" applyBorder="1" applyAlignment="1">
      <alignment vertical="center" readingOrder="1"/>
    </xf>
    <xf numFmtId="0" fontId="31" fillId="21" borderId="0" xfId="0" applyFont="1" applyFill="1" applyAlignment="1">
      <alignment vertical="center" wrapText="1"/>
    </xf>
    <xf numFmtId="15" fontId="31" fillId="21" borderId="13" xfId="0" applyNumberFormat="1" applyFont="1" applyFill="1" applyBorder="1" applyAlignment="1">
      <alignment vertical="center" readingOrder="1"/>
    </xf>
    <xf numFmtId="16" fontId="31" fillId="21" borderId="13" xfId="0" applyNumberFormat="1" applyFont="1" applyFill="1" applyBorder="1" applyAlignment="1">
      <alignment vertical="center" readingOrder="1"/>
    </xf>
    <xf numFmtId="0" fontId="15" fillId="21" borderId="13" xfId="0" applyFont="1" applyFill="1" applyBorder="1" applyAlignment="1">
      <alignment vertical="center" wrapText="1" readingOrder="1"/>
    </xf>
    <xf numFmtId="0" fontId="31" fillId="22" borderId="13" xfId="0" applyFont="1" applyFill="1" applyBorder="1" applyAlignment="1">
      <alignment vertical="center" wrapText="1" readingOrder="1"/>
    </xf>
    <xf numFmtId="0" fontId="31" fillId="22" borderId="13" xfId="0" applyFont="1" applyFill="1" applyBorder="1" applyAlignment="1">
      <alignment vertical="center" readingOrder="1"/>
    </xf>
    <xf numFmtId="0" fontId="14" fillId="22" borderId="13" xfId="1" applyFill="1" applyBorder="1" applyAlignment="1">
      <alignment vertical="center" readingOrder="1"/>
    </xf>
    <xf numFmtId="0" fontId="15" fillId="22" borderId="13" xfId="0" applyFont="1" applyFill="1" applyBorder="1" applyAlignment="1">
      <alignment vertical="center" readingOrder="1"/>
    </xf>
    <xf numFmtId="0" fontId="15" fillId="22" borderId="14" xfId="0" applyFont="1" applyFill="1" applyBorder="1" applyAlignment="1">
      <alignment vertical="center" readingOrder="1"/>
    </xf>
    <xf numFmtId="0" fontId="15" fillId="22" borderId="0" xfId="0" applyFont="1" applyFill="1" applyAlignment="1">
      <alignment vertical="center"/>
    </xf>
    <xf numFmtId="0" fontId="8" fillId="5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 vertical="center" wrapText="1"/>
    </xf>
    <xf numFmtId="0" fontId="13" fillId="11" borderId="19" xfId="0" applyFont="1" applyFill="1" applyBorder="1" applyAlignment="1">
      <alignment horizontal="center" vertical="center" wrapText="1"/>
    </xf>
    <xf numFmtId="0" fontId="13" fillId="11" borderId="16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6" borderId="0" xfId="0" applyFont="1" applyFill="1"/>
    <xf numFmtId="0" fontId="8" fillId="5" borderId="7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2" fillId="11" borderId="16" xfId="0" applyFont="1" applyFill="1" applyBorder="1" applyAlignment="1">
      <alignment horizontal="center" vertical="center" wrapText="1"/>
    </xf>
    <xf numFmtId="0" fontId="22" fillId="11" borderId="19" xfId="0" applyFont="1" applyFill="1" applyBorder="1" applyAlignment="1">
      <alignment horizontal="center" vertical="center" wrapText="1"/>
    </xf>
    <xf numFmtId="0" fontId="22" fillId="11" borderId="21" xfId="0" applyFont="1" applyFill="1" applyBorder="1" applyAlignment="1">
      <alignment horizontal="center" vertical="center" wrapText="1"/>
    </xf>
    <xf numFmtId="0" fontId="13" fillId="11" borderId="21" xfId="0" applyFont="1" applyFill="1" applyBorder="1" applyAlignment="1">
      <alignment horizontal="center" vertical="center" wrapText="1"/>
    </xf>
    <xf numFmtId="0" fontId="22" fillId="11" borderId="16" xfId="0" applyFont="1" applyFill="1" applyBorder="1" applyAlignment="1">
      <alignment horizontal="center" wrapText="1"/>
    </xf>
    <xf numFmtId="0" fontId="22" fillId="11" borderId="21" xfId="0" applyFont="1" applyFill="1" applyBorder="1" applyAlignment="1">
      <alignment horizontal="center" wrapText="1"/>
    </xf>
    <xf numFmtId="0" fontId="13" fillId="11" borderId="24" xfId="0" applyFont="1" applyFill="1" applyBorder="1" applyAlignment="1">
      <alignment horizontal="center" vertical="center" wrapText="1"/>
    </xf>
    <xf numFmtId="0" fontId="13" fillId="11" borderId="25" xfId="0" applyFont="1" applyFill="1" applyBorder="1" applyAlignment="1">
      <alignment horizontal="center" vertical="center" wrapText="1"/>
    </xf>
    <xf numFmtId="0" fontId="13" fillId="11" borderId="26" xfId="0" applyFont="1" applyFill="1" applyBorder="1" applyAlignment="1">
      <alignment horizontal="center" vertical="center" wrapText="1"/>
    </xf>
    <xf numFmtId="0" fontId="13" fillId="11" borderId="24" xfId="0" applyFont="1" applyFill="1" applyBorder="1" applyAlignment="1">
      <alignment horizontal="center" wrapText="1"/>
    </xf>
    <xf numFmtId="0" fontId="13" fillId="11" borderId="25" xfId="0" applyFont="1" applyFill="1" applyBorder="1" applyAlignment="1">
      <alignment horizontal="center" wrapText="1"/>
    </xf>
    <xf numFmtId="0" fontId="13" fillId="11" borderId="16" xfId="0" applyFont="1" applyFill="1" applyBorder="1" applyAlignment="1">
      <alignment horizontal="center" wrapText="1"/>
    </xf>
    <xf numFmtId="0" fontId="13" fillId="11" borderId="19" xfId="0" applyFont="1" applyFill="1" applyBorder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366088"/>
      <color rgb="FFEDF2F3"/>
      <color rgb="FF70D8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lpida Tzika [ViLabs]" id="{571578E1-BC2D-4475-B109-116A7BFF3C40}" userId="S::elpida.tzika@vilabs.eu::bf33c9e6-65a3-4e3a-bfd9-55a55aa28cc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7-08T10:14:34.71" personId="{571578E1-BC2D-4475-B109-116A7BFF3C40}" id="{E5427565-EB0B-46F2-A5B0-C76376178AF4}">
    <text>Blog Articles = Blogs + Event Recaps, Measure Interaction (Likes, Comments,Reposts) from LinkedIn</text>
  </threadedComment>
  <threadedComment ref="A9" dT="2026-07-08T10:15:16.45" personId="{571578E1-BC2D-4475-B109-116A7BFF3C40}" id="{10DEA034-988D-4F89-84BF-DD59192B2D31}">
    <text>Ignore it we don't have X account</text>
  </threadedComment>
  <threadedComment ref="B12" dT="2025-12-10T17:33:27.60" personId="{571578E1-BC2D-4475-B109-116A7BFF3C40}" id="{9F41DE54-6432-4511-965F-4714FE5BF17E}">
    <text>All counts as Interactions</text>
  </threadedComment>
  <threadedComment ref="B12" dT="2026-04-01T18:27:36.41" personId="{571578E1-BC2D-4475-B109-116A7BFF3C40}" id="{206D437A-D342-408D-A02E-2D857BC61002}" parentId="{9F41DE54-6432-4511-965F-4714FE5BF17E}">
    <text>reactions, comments, reposts</text>
  </threadedComment>
  <threadedComment ref="B17" dT="2025-12-10T17:33:27.60" personId="{571578E1-BC2D-4475-B109-116A7BFF3C40}" id="{08749A30-9874-4677-AF5B-FFAE7DB48053}">
    <text>All counts as Interactions</text>
  </threadedComment>
  <threadedComment ref="B24" dT="2026-07-08T10:20:45.38" personId="{571578E1-BC2D-4475-B109-116A7BFF3C40}" id="{F3D43307-1CAD-429F-9D4A-3F1AA76AFC2F}">
    <text>Views &amp; Downloads: Every month deduct previous months result to find the total for the current month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6-06-24T14:51:23.83" personId="{571578E1-BC2D-4475-B109-116A7BFF3C40}" id="{CA009632-4848-42DC-930B-054DFF81AB7B}">
    <text>check speakers from the event list</text>
  </threadedComment>
  <threadedComment ref="H7" dT="2026-04-08T19:55:49.92" personId="{571578E1-BC2D-4475-B109-116A7BFF3C40}" id="{12941BF5-00CB-402D-85BF-A96AA96D4D5A}">
    <text>Gkizelis (mod), Manias (VIGI) - count as 2</text>
  </threadedComment>
  <threadedComment ref="K7" dT="2026-07-28T14:35:20.63" personId="{571578E1-BC2D-4475-B109-116A7BFF3C40}" id="{C9C7A0EA-63FB-4854-A60F-EA72A5485460}">
    <text>count as 2</text>
  </threadedComment>
  <threadedComment ref="B8" dT="2026-04-08T20:28:36.30" personId="{571578E1-BC2D-4475-B109-116A7BFF3C40}" id="{3CE733B7-5E42-4E5D-A3E8-1D64FDDB641C}">
    <text>posts on social media, recap mails to the attendants and so on</text>
  </threadedComment>
  <threadedComment ref="H17" dT="2026-06-24T15:14:05.05" personId="{571578E1-BC2D-4475-B109-116A7BFF3C40}" id="{D0B04581-BFE7-48CF-A150-964B337ABFB8}">
    <text>students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9" dT="2026-04-17T09:34:37.96" personId="{571578E1-BC2D-4475-B109-116A7BFF3C40}" id="{71EB60F2-A700-4DFA-8F87-08ECD01A8090}">
    <text>cluster is in favor for that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42C2-2FC5-4097-9F26-02FE7819F099}">
  <dimension ref="A1:AM13"/>
  <sheetViews>
    <sheetView tabSelected="1" workbookViewId="0">
      <selection activeCell="E12" sqref="E12"/>
    </sheetView>
  </sheetViews>
  <sheetFormatPr defaultRowHeight="15" x14ac:dyDescent="0.25"/>
  <cols>
    <col min="1" max="1" width="33.5703125" bestFit="1" customWidth="1"/>
    <col min="2" max="2" width="20.7109375" bestFit="1" customWidth="1"/>
    <col min="3" max="3" width="18.28515625" bestFit="1" customWidth="1"/>
    <col min="7" max="7" width="11" customWidth="1"/>
    <col min="9" max="9" width="12.5703125" customWidth="1"/>
    <col min="18" max="18" width="10.28515625" customWidth="1"/>
    <col min="20" max="20" width="9.85546875" customWidth="1"/>
    <col min="35" max="35" width="10.140625" customWidth="1"/>
    <col min="36" max="37" width="10.42578125" customWidth="1"/>
    <col min="38" max="38" width="10.140625" customWidth="1"/>
  </cols>
  <sheetData>
    <row r="1" spans="1:39" x14ac:dyDescent="0.25">
      <c r="A1" s="9"/>
      <c r="B1" s="201" t="s">
        <v>0</v>
      </c>
      <c r="C1" s="203" t="s">
        <v>1</v>
      </c>
      <c r="D1" s="205" t="s">
        <v>2</v>
      </c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  <c r="P1" s="191" t="s">
        <v>3</v>
      </c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3" t="s">
        <v>4</v>
      </c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5"/>
    </row>
    <row r="2" spans="1:39" x14ac:dyDescent="0.25">
      <c r="A2" s="10"/>
      <c r="B2" s="202"/>
      <c r="C2" s="204"/>
      <c r="D2" s="126" t="s">
        <v>5</v>
      </c>
      <c r="E2" s="126" t="s">
        <v>6</v>
      </c>
      <c r="F2" s="126" t="s">
        <v>7</v>
      </c>
      <c r="G2" s="126" t="s">
        <v>8</v>
      </c>
      <c r="H2" s="126" t="s">
        <v>9</v>
      </c>
      <c r="I2" s="126" t="s">
        <v>10</v>
      </c>
      <c r="J2" s="126" t="s">
        <v>11</v>
      </c>
      <c r="K2" s="126" t="s">
        <v>12</v>
      </c>
      <c r="L2" s="126" t="s">
        <v>13</v>
      </c>
      <c r="M2" s="126" t="s">
        <v>14</v>
      </c>
      <c r="N2" s="126" t="s">
        <v>15</v>
      </c>
      <c r="O2" s="127" t="s">
        <v>16</v>
      </c>
      <c r="P2" s="128" t="s">
        <v>17</v>
      </c>
      <c r="Q2" s="128" t="s">
        <v>18</v>
      </c>
      <c r="R2" s="128" t="s">
        <v>19</v>
      </c>
      <c r="S2" s="128" t="s">
        <v>20</v>
      </c>
      <c r="T2" s="128" t="s">
        <v>21</v>
      </c>
      <c r="U2" s="128" t="s">
        <v>22</v>
      </c>
      <c r="V2" s="128" t="s">
        <v>23</v>
      </c>
      <c r="W2" s="128" t="s">
        <v>24</v>
      </c>
      <c r="X2" s="128" t="s">
        <v>25</v>
      </c>
      <c r="Y2" s="128" t="s">
        <v>26</v>
      </c>
      <c r="Z2" s="129" t="s">
        <v>27</v>
      </c>
      <c r="AA2" s="63" t="s">
        <v>28</v>
      </c>
      <c r="AB2" s="55" t="s">
        <v>29</v>
      </c>
      <c r="AC2" s="55" t="s">
        <v>30</v>
      </c>
      <c r="AD2" s="55" t="s">
        <v>31</v>
      </c>
      <c r="AE2" s="55" t="s">
        <v>32</v>
      </c>
      <c r="AF2" s="55" t="s">
        <v>33</v>
      </c>
      <c r="AG2" s="55" t="s">
        <v>34</v>
      </c>
      <c r="AH2" s="55" t="s">
        <v>35</v>
      </c>
      <c r="AI2" s="55" t="s">
        <v>36</v>
      </c>
      <c r="AJ2" s="55" t="s">
        <v>37</v>
      </c>
      <c r="AK2" s="55" t="s">
        <v>38</v>
      </c>
      <c r="AL2" s="64" t="s">
        <v>39</v>
      </c>
      <c r="AM2" s="64" t="s">
        <v>40</v>
      </c>
    </row>
    <row r="3" spans="1:39" ht="36" customHeight="1" x14ac:dyDescent="0.25">
      <c r="A3" s="196" t="s">
        <v>41</v>
      </c>
      <c r="B3" s="112" t="s">
        <v>42</v>
      </c>
      <c r="C3" s="116" t="s">
        <v>216</v>
      </c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78"/>
      <c r="Q3" s="12"/>
      <c r="R3" s="12"/>
      <c r="S3" s="12"/>
      <c r="T3" s="12"/>
      <c r="U3" s="12"/>
      <c r="V3" s="12"/>
      <c r="W3" s="12"/>
      <c r="X3" s="12"/>
      <c r="Y3" s="12"/>
      <c r="Z3" s="12"/>
      <c r="AA3" s="79"/>
      <c r="AB3" s="78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79"/>
    </row>
    <row r="4" spans="1:39" ht="36" customHeight="1" x14ac:dyDescent="0.25">
      <c r="A4" s="197"/>
      <c r="B4" s="83" t="s">
        <v>43</v>
      </c>
      <c r="C4" s="119" t="s">
        <v>249</v>
      </c>
      <c r="D4" s="7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78"/>
      <c r="Q4" s="12"/>
      <c r="R4" s="12"/>
      <c r="S4" s="12"/>
      <c r="T4" s="12"/>
      <c r="U4" s="12"/>
      <c r="V4" s="12"/>
      <c r="W4" s="12"/>
      <c r="X4" s="12"/>
      <c r="Y4" s="12"/>
      <c r="Z4" s="12"/>
      <c r="AA4" s="79"/>
      <c r="AB4" s="78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79"/>
    </row>
    <row r="5" spans="1:39" ht="36" customHeight="1" x14ac:dyDescent="0.25">
      <c r="A5" s="197"/>
      <c r="B5" s="83" t="s">
        <v>44</v>
      </c>
      <c r="C5" s="119" t="s">
        <v>250</v>
      </c>
      <c r="D5" s="7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78"/>
      <c r="Q5" s="12"/>
      <c r="R5" s="12"/>
      <c r="S5" s="12"/>
      <c r="T5" s="12"/>
      <c r="U5" s="12"/>
      <c r="V5" s="12"/>
      <c r="W5" s="12"/>
      <c r="X5" s="12"/>
      <c r="Y5" s="12"/>
      <c r="Z5" s="12"/>
      <c r="AA5" s="79"/>
      <c r="AB5" s="78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79"/>
    </row>
    <row r="6" spans="1:39" ht="42" customHeight="1" thickBot="1" x14ac:dyDescent="0.3">
      <c r="A6" s="197"/>
      <c r="B6" s="84" t="s">
        <v>45</v>
      </c>
      <c r="C6" s="119" t="s">
        <v>218</v>
      </c>
      <c r="D6" s="78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78"/>
      <c r="Q6" s="12"/>
      <c r="R6" s="12"/>
      <c r="S6" s="12"/>
      <c r="T6" s="12"/>
      <c r="U6" s="12"/>
      <c r="V6" s="12"/>
      <c r="W6" s="12"/>
      <c r="X6" s="12"/>
      <c r="Y6" s="12"/>
      <c r="Z6" s="12"/>
      <c r="AA6" s="79"/>
      <c r="AB6" s="78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79"/>
    </row>
    <row r="7" spans="1:39" ht="24" customHeight="1" x14ac:dyDescent="0.25">
      <c r="A7" s="198" t="s">
        <v>46</v>
      </c>
      <c r="B7" s="112" t="s">
        <v>47</v>
      </c>
      <c r="C7" s="116" t="s">
        <v>219</v>
      </c>
      <c r="D7" s="7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78"/>
      <c r="Q7" s="12"/>
      <c r="R7" s="12"/>
      <c r="S7" s="12"/>
      <c r="T7" s="12"/>
      <c r="U7" s="12"/>
      <c r="V7" s="12"/>
      <c r="W7" s="12"/>
      <c r="X7" s="12"/>
      <c r="Y7" s="12"/>
      <c r="Z7" s="12"/>
      <c r="AA7" s="79"/>
      <c r="AB7" s="78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79"/>
    </row>
    <row r="8" spans="1:39" ht="18.600000000000001" customHeight="1" x14ac:dyDescent="0.25">
      <c r="A8" s="199"/>
      <c r="B8" s="83" t="s">
        <v>48</v>
      </c>
      <c r="C8" s="119" t="s">
        <v>220</v>
      </c>
      <c r="D8" s="78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78"/>
      <c r="Q8" s="12"/>
      <c r="R8" s="12"/>
      <c r="S8" s="12"/>
      <c r="T8" s="12"/>
      <c r="U8" s="12"/>
      <c r="V8" s="12"/>
      <c r="W8" s="12"/>
      <c r="X8" s="12"/>
      <c r="Y8" s="12"/>
      <c r="Z8" s="12"/>
      <c r="AA8" s="79"/>
      <c r="AB8" s="78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79"/>
    </row>
    <row r="9" spans="1:39" ht="16.5" thickBot="1" x14ac:dyDescent="0.3">
      <c r="A9" s="200"/>
      <c r="B9" s="117" t="s">
        <v>49</v>
      </c>
      <c r="C9" s="118" t="s">
        <v>221</v>
      </c>
      <c r="D9" s="8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0"/>
      <c r="Q9" s="81"/>
      <c r="R9" s="81"/>
      <c r="S9" s="81"/>
      <c r="T9" s="81"/>
      <c r="U9" s="81"/>
      <c r="V9" s="81"/>
      <c r="W9" s="81"/>
      <c r="X9" s="81"/>
      <c r="Y9" s="81"/>
      <c r="Z9" s="81"/>
      <c r="AA9" s="82"/>
      <c r="AB9" s="80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2"/>
    </row>
    <row r="13" spans="1:39" x14ac:dyDescent="0.25">
      <c r="E13" s="39"/>
    </row>
  </sheetData>
  <mergeCells count="7">
    <mergeCell ref="P1:AA1"/>
    <mergeCell ref="AB1:AM1"/>
    <mergeCell ref="A3:A6"/>
    <mergeCell ref="A7:A9"/>
    <mergeCell ref="B1:B2"/>
    <mergeCell ref="C1:C2"/>
    <mergeCell ref="D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CAAE-9BED-4B5E-B426-32F1D2C7DCC6}">
  <dimension ref="A1:AN41"/>
  <sheetViews>
    <sheetView zoomScale="89" zoomScaleNormal="89" workbookViewId="0">
      <pane xSplit="2" topLeftCell="C1" activePane="topRight" state="frozen"/>
      <selection pane="topRight" activeCell="J35" sqref="J35"/>
    </sheetView>
  </sheetViews>
  <sheetFormatPr defaultRowHeight="15" x14ac:dyDescent="0.25"/>
  <cols>
    <col min="1" max="1" width="15.140625" customWidth="1"/>
    <col min="2" max="2" width="37.5703125" customWidth="1"/>
    <col min="3" max="3" width="16" customWidth="1"/>
    <col min="4" max="4" width="18.7109375" customWidth="1"/>
    <col min="21" max="21" width="10.28515625" customWidth="1"/>
  </cols>
  <sheetData>
    <row r="1" spans="1:40" ht="14.45" customHeight="1" x14ac:dyDescent="0.25">
      <c r="A1" s="9"/>
      <c r="B1" s="1"/>
      <c r="C1" s="201" t="s">
        <v>0</v>
      </c>
      <c r="D1" s="203" t="s">
        <v>1</v>
      </c>
      <c r="E1" s="205" t="s">
        <v>2</v>
      </c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7"/>
      <c r="Q1" s="191" t="s">
        <v>3</v>
      </c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211"/>
      <c r="AC1" s="191" t="s">
        <v>4</v>
      </c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211"/>
    </row>
    <row r="2" spans="1:40" ht="15" customHeight="1" x14ac:dyDescent="0.25">
      <c r="A2" s="10"/>
      <c r="C2" s="202"/>
      <c r="D2" s="204"/>
      <c r="E2" s="126" t="s">
        <v>5</v>
      </c>
      <c r="F2" s="126" t="s">
        <v>6</v>
      </c>
      <c r="G2" s="126" t="s">
        <v>7</v>
      </c>
      <c r="H2" s="126" t="s">
        <v>8</v>
      </c>
      <c r="I2" s="126" t="s">
        <v>9</v>
      </c>
      <c r="J2" s="126" t="s">
        <v>10</v>
      </c>
      <c r="K2" s="126" t="s">
        <v>11</v>
      </c>
      <c r="L2" s="126" t="s">
        <v>12</v>
      </c>
      <c r="M2" s="126" t="s">
        <v>13</v>
      </c>
      <c r="N2" s="126" t="s">
        <v>14</v>
      </c>
      <c r="O2" s="126" t="s">
        <v>15</v>
      </c>
      <c r="P2" s="147" t="s">
        <v>16</v>
      </c>
      <c r="Q2" s="128" t="s">
        <v>17</v>
      </c>
      <c r="R2" s="128" t="s">
        <v>18</v>
      </c>
      <c r="S2" s="128" t="s">
        <v>19</v>
      </c>
      <c r="T2" s="128" t="s">
        <v>20</v>
      </c>
      <c r="U2" s="128" t="s">
        <v>21</v>
      </c>
      <c r="V2" s="128" t="s">
        <v>22</v>
      </c>
      <c r="W2" s="128" t="s">
        <v>23</v>
      </c>
      <c r="X2" s="128" t="s">
        <v>24</v>
      </c>
      <c r="Y2" s="128" t="s">
        <v>25</v>
      </c>
      <c r="Z2" s="128" t="s">
        <v>26</v>
      </c>
      <c r="AA2" s="129" t="s">
        <v>27</v>
      </c>
      <c r="AB2" s="63" t="s">
        <v>28</v>
      </c>
      <c r="AC2" s="55" t="s">
        <v>29</v>
      </c>
      <c r="AD2" s="55" t="s">
        <v>30</v>
      </c>
      <c r="AE2" s="55" t="s">
        <v>31</v>
      </c>
      <c r="AF2" s="55" t="s">
        <v>32</v>
      </c>
      <c r="AG2" s="55" t="s">
        <v>33</v>
      </c>
      <c r="AH2" s="55" t="s">
        <v>34</v>
      </c>
      <c r="AI2" s="55" t="s">
        <v>35</v>
      </c>
      <c r="AJ2" s="55" t="s">
        <v>36</v>
      </c>
      <c r="AK2" s="55" t="s">
        <v>37</v>
      </c>
      <c r="AL2" s="55" t="s">
        <v>38</v>
      </c>
      <c r="AM2" s="64" t="s">
        <v>39</v>
      </c>
      <c r="AN2" s="64" t="s">
        <v>40</v>
      </c>
    </row>
    <row r="3" spans="1:40" ht="15.75" x14ac:dyDescent="0.25">
      <c r="A3" s="208" t="s">
        <v>50</v>
      </c>
      <c r="B3" s="209"/>
      <c r="C3" s="4"/>
      <c r="D3" s="4"/>
      <c r="E3" s="210"/>
      <c r="F3" s="210"/>
      <c r="G3" s="210"/>
      <c r="H3" s="210"/>
      <c r="I3" s="210"/>
      <c r="J3" s="210"/>
      <c r="K3" s="210"/>
      <c r="L3" s="210"/>
      <c r="M3" s="4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4"/>
      <c r="AC3" s="57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9"/>
    </row>
    <row r="4" spans="1:40" ht="15.75" x14ac:dyDescent="0.25">
      <c r="A4" s="221" t="s">
        <v>51</v>
      </c>
      <c r="B4" s="89" t="s">
        <v>52</v>
      </c>
      <c r="D4" s="29" t="s">
        <v>196</v>
      </c>
      <c r="E4" s="104"/>
      <c r="F4" s="105"/>
      <c r="G4" s="105"/>
      <c r="H4" s="105"/>
      <c r="I4" s="105"/>
      <c r="J4" s="105"/>
      <c r="K4" s="105"/>
      <c r="L4" s="105"/>
      <c r="M4" s="95"/>
      <c r="N4" s="95"/>
      <c r="O4" s="95"/>
      <c r="P4" s="96"/>
      <c r="Q4" s="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78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79"/>
    </row>
    <row r="5" spans="1:40" ht="15.75" x14ac:dyDescent="0.25">
      <c r="A5" s="222"/>
      <c r="B5" s="8" t="s">
        <v>53</v>
      </c>
      <c r="C5" s="5" t="s">
        <v>54</v>
      </c>
      <c r="D5" s="29" t="s">
        <v>198</v>
      </c>
      <c r="E5" s="106"/>
      <c r="F5" s="88"/>
      <c r="G5" s="88"/>
      <c r="H5" s="88"/>
      <c r="I5" s="88"/>
      <c r="J5" s="88"/>
      <c r="K5" s="88"/>
      <c r="L5" s="88"/>
      <c r="M5" s="2"/>
      <c r="N5" s="2"/>
      <c r="O5" s="2"/>
      <c r="P5" s="98"/>
      <c r="Q5" s="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78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79"/>
    </row>
    <row r="6" spans="1:40" ht="15.75" x14ac:dyDescent="0.25">
      <c r="A6" s="222"/>
      <c r="B6" s="90" t="s">
        <v>55</v>
      </c>
      <c r="C6" s="5" t="s">
        <v>56</v>
      </c>
      <c r="D6" s="29" t="s">
        <v>197</v>
      </c>
      <c r="E6" s="106"/>
      <c r="F6" s="88"/>
      <c r="G6" s="88"/>
      <c r="H6" s="88"/>
      <c r="I6" s="88"/>
      <c r="J6" s="88"/>
      <c r="K6" s="88"/>
      <c r="L6" s="88"/>
      <c r="M6" s="2"/>
      <c r="N6" s="2"/>
      <c r="O6" s="2"/>
      <c r="P6" s="98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78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79"/>
    </row>
    <row r="7" spans="1:40" ht="17.25" customHeight="1" thickBot="1" x14ac:dyDescent="0.3">
      <c r="A7" s="223"/>
      <c r="B7" s="43" t="s">
        <v>57</v>
      </c>
      <c r="C7" s="7"/>
      <c r="D7" s="41" t="s">
        <v>199</v>
      </c>
      <c r="E7" s="134"/>
      <c r="F7" s="135"/>
      <c r="G7" s="135"/>
      <c r="H7" s="135"/>
      <c r="I7" s="135"/>
      <c r="J7" s="135"/>
      <c r="K7" s="170"/>
      <c r="L7" s="136"/>
      <c r="M7" s="137"/>
      <c r="N7" s="137"/>
      <c r="O7" s="137"/>
      <c r="P7" s="138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78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79"/>
    </row>
    <row r="8" spans="1:40" ht="16.5" thickBot="1" x14ac:dyDescent="0.3">
      <c r="A8" s="208" t="s">
        <v>58</v>
      </c>
      <c r="B8" s="209"/>
      <c r="C8" s="4"/>
      <c r="D8" s="30"/>
      <c r="E8" s="212"/>
      <c r="F8" s="212"/>
      <c r="G8" s="212"/>
      <c r="H8" s="212"/>
      <c r="I8" s="212"/>
      <c r="J8" s="212"/>
      <c r="K8" s="212"/>
      <c r="L8" s="212"/>
      <c r="M8" s="4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4"/>
      <c r="AC8" s="60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2"/>
    </row>
    <row r="9" spans="1:40" ht="15.75" x14ac:dyDescent="0.25">
      <c r="A9" s="228" t="s">
        <v>59</v>
      </c>
      <c r="B9" s="89" t="s">
        <v>60</v>
      </c>
      <c r="C9" s="5"/>
      <c r="D9" s="29"/>
      <c r="E9" s="104"/>
      <c r="F9" s="105"/>
      <c r="G9" s="105"/>
      <c r="H9" s="105"/>
      <c r="I9" s="105"/>
      <c r="J9" s="105"/>
      <c r="K9" s="105"/>
      <c r="L9" s="105"/>
      <c r="M9" s="95"/>
      <c r="N9" s="95"/>
      <c r="O9" s="95"/>
      <c r="P9" s="95"/>
      <c r="Q9" s="94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1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3"/>
    </row>
    <row r="10" spans="1:40" ht="15.75" x14ac:dyDescent="0.25">
      <c r="A10" s="229"/>
      <c r="B10" s="90" t="s">
        <v>61</v>
      </c>
      <c r="C10" s="5"/>
      <c r="D10" s="29"/>
      <c r="E10" s="106"/>
      <c r="F10" s="88"/>
      <c r="G10" s="88"/>
      <c r="H10" s="100"/>
      <c r="I10" s="100"/>
      <c r="J10" s="100"/>
      <c r="K10" s="100"/>
      <c r="L10" s="88"/>
      <c r="M10" s="2"/>
      <c r="N10" s="2"/>
      <c r="O10" s="2"/>
      <c r="P10" s="2"/>
      <c r="Q10" s="97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78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79"/>
    </row>
    <row r="11" spans="1:40" ht="15.75" x14ac:dyDescent="0.25">
      <c r="A11" s="229"/>
      <c r="B11" s="8" t="s">
        <v>62</v>
      </c>
      <c r="C11" s="5"/>
      <c r="D11" s="29"/>
      <c r="E11" s="106"/>
      <c r="F11" s="88"/>
      <c r="G11" s="88"/>
      <c r="H11" s="100"/>
      <c r="I11" s="101"/>
      <c r="J11" s="101"/>
      <c r="K11" s="100"/>
      <c r="L11" s="102"/>
      <c r="M11" s="2"/>
      <c r="N11" s="2"/>
      <c r="O11" s="2"/>
      <c r="P11" s="2"/>
      <c r="Q11" s="97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78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79"/>
    </row>
    <row r="12" spans="1:40" ht="15.75" x14ac:dyDescent="0.25">
      <c r="A12" s="229"/>
      <c r="B12" s="90" t="s">
        <v>63</v>
      </c>
      <c r="C12" s="5"/>
      <c r="D12" s="29"/>
      <c r="E12" s="106"/>
      <c r="F12" s="88"/>
      <c r="G12" s="88"/>
      <c r="H12" s="100"/>
      <c r="I12" s="100"/>
      <c r="J12" s="101"/>
      <c r="K12" s="100"/>
      <c r="L12" s="88"/>
      <c r="M12" s="2"/>
      <c r="N12" s="2"/>
      <c r="O12" s="2"/>
      <c r="P12" s="2"/>
      <c r="Q12" s="97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78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79"/>
    </row>
    <row r="13" spans="1:40" ht="15.75" x14ac:dyDescent="0.25">
      <c r="A13" s="229"/>
      <c r="B13" s="90" t="s">
        <v>64</v>
      </c>
      <c r="C13" s="5"/>
      <c r="D13" s="29"/>
      <c r="E13" s="106"/>
      <c r="F13" s="88"/>
      <c r="G13" s="88"/>
      <c r="H13" s="100"/>
      <c r="I13" s="100"/>
      <c r="J13" s="101"/>
      <c r="K13" s="100"/>
      <c r="L13" s="88"/>
      <c r="M13" s="2"/>
      <c r="N13" s="2"/>
      <c r="O13" s="2"/>
      <c r="P13" s="2"/>
      <c r="Q13" s="97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78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79"/>
    </row>
    <row r="14" spans="1:40" ht="15.75" x14ac:dyDescent="0.25">
      <c r="A14" s="230"/>
      <c r="B14" s="121" t="s">
        <v>65</v>
      </c>
      <c r="C14" s="17"/>
      <c r="D14" s="29"/>
      <c r="E14" s="106"/>
      <c r="F14" s="88"/>
      <c r="G14" s="88"/>
      <c r="H14" s="88"/>
      <c r="I14" s="88"/>
      <c r="J14" s="88"/>
      <c r="K14" s="88"/>
      <c r="L14" s="88"/>
      <c r="M14" s="2"/>
      <c r="N14" s="2"/>
      <c r="O14" s="2"/>
      <c r="P14" s="2"/>
      <c r="Q14" s="97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78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79"/>
    </row>
    <row r="15" spans="1:40" ht="15.75" x14ac:dyDescent="0.25">
      <c r="A15" s="231" t="s">
        <v>66</v>
      </c>
      <c r="B15" s="89" t="s">
        <v>60</v>
      </c>
      <c r="C15" s="5"/>
      <c r="D15" s="29" t="s">
        <v>200</v>
      </c>
      <c r="E15" s="106"/>
      <c r="F15" s="88"/>
      <c r="G15" s="88"/>
      <c r="H15" s="88"/>
      <c r="I15" s="88"/>
      <c r="J15" s="88"/>
      <c r="K15" s="88"/>
      <c r="L15" s="88"/>
      <c r="M15" s="2"/>
      <c r="N15" s="2"/>
      <c r="O15" s="2"/>
      <c r="P15" s="2"/>
      <c r="Q15" s="97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78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79"/>
    </row>
    <row r="16" spans="1:40" ht="15.75" x14ac:dyDescent="0.25">
      <c r="A16" s="232"/>
      <c r="B16" s="90" t="s">
        <v>61</v>
      </c>
      <c r="C16" s="5"/>
      <c r="D16" s="29" t="s">
        <v>201</v>
      </c>
      <c r="E16" s="106"/>
      <c r="F16" s="88"/>
      <c r="G16" s="88"/>
      <c r="H16" s="88"/>
      <c r="I16" s="88"/>
      <c r="J16" s="88"/>
      <c r="K16" s="88"/>
      <c r="L16" s="88"/>
      <c r="M16" s="2"/>
      <c r="N16" s="2"/>
      <c r="O16" s="2"/>
      <c r="P16" s="2"/>
      <c r="Q16" s="97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78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79"/>
    </row>
    <row r="17" spans="1:40" ht="15.75" x14ac:dyDescent="0.25">
      <c r="A17" s="232"/>
      <c r="B17" s="90" t="s">
        <v>63</v>
      </c>
      <c r="C17" s="5"/>
      <c r="D17" s="29" t="s">
        <v>202</v>
      </c>
      <c r="E17" s="106"/>
      <c r="F17" s="88"/>
      <c r="G17" s="88"/>
      <c r="H17" s="88"/>
      <c r="I17" s="102"/>
      <c r="J17" s="102"/>
      <c r="K17" s="102"/>
      <c r="L17" s="102"/>
      <c r="M17" s="2"/>
      <c r="N17" s="2"/>
      <c r="O17" s="2"/>
      <c r="P17" s="2"/>
      <c r="Q17" s="97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78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79"/>
    </row>
    <row r="18" spans="1:40" ht="15.75" x14ac:dyDescent="0.25">
      <c r="A18" s="232"/>
      <c r="B18" s="90" t="s">
        <v>64</v>
      </c>
      <c r="C18" s="5"/>
      <c r="D18" s="29" t="s">
        <v>203</v>
      </c>
      <c r="E18" s="106"/>
      <c r="F18" s="88"/>
      <c r="G18" s="88"/>
      <c r="H18" s="88"/>
      <c r="I18" s="102"/>
      <c r="J18" s="102"/>
      <c r="K18" s="102"/>
      <c r="L18" s="102"/>
      <c r="M18" s="2"/>
      <c r="N18" s="2"/>
      <c r="O18" s="2"/>
      <c r="P18" s="2"/>
      <c r="Q18" s="97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78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79"/>
    </row>
    <row r="19" spans="1:40" ht="15.75" x14ac:dyDescent="0.25">
      <c r="A19" s="233"/>
      <c r="B19" s="121" t="s">
        <v>65</v>
      </c>
      <c r="C19" s="17"/>
      <c r="D19" s="29" t="s">
        <v>204</v>
      </c>
      <c r="E19" s="106"/>
      <c r="F19" s="88"/>
      <c r="G19" s="88"/>
      <c r="H19" s="88"/>
      <c r="I19" s="88"/>
      <c r="J19" s="88"/>
      <c r="K19" s="88"/>
      <c r="L19" s="88"/>
      <c r="M19" s="2"/>
      <c r="N19" s="2"/>
      <c r="O19" s="2"/>
      <c r="P19" s="2"/>
      <c r="Q19" s="99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78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79"/>
    </row>
    <row r="20" spans="1:40" ht="15.75" x14ac:dyDescent="0.25">
      <c r="A20" s="226" t="s">
        <v>67</v>
      </c>
      <c r="B20" s="89" t="s">
        <v>60</v>
      </c>
      <c r="C20" s="5" t="s">
        <v>68</v>
      </c>
      <c r="D20" s="29" t="e">
        <f>D9+D15</f>
        <v>#VALUE!</v>
      </c>
      <c r="E20" s="106"/>
      <c r="F20" s="88"/>
      <c r="G20" s="88"/>
      <c r="H20" s="88"/>
      <c r="I20" s="88"/>
      <c r="J20" s="88"/>
      <c r="K20" s="88"/>
      <c r="L20" s="88"/>
      <c r="M20" s="2"/>
      <c r="N20" s="2"/>
      <c r="O20" s="2"/>
      <c r="P20" s="2"/>
      <c r="Q20" s="99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78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79"/>
    </row>
    <row r="21" spans="1:40" ht="15.75" x14ac:dyDescent="0.25">
      <c r="A21" s="227"/>
      <c r="B21" s="90" t="s">
        <v>61</v>
      </c>
      <c r="C21" s="83" t="s">
        <v>69</v>
      </c>
      <c r="D21" s="29" t="e">
        <f>D10+D16+D23</f>
        <v>#VALUE!</v>
      </c>
      <c r="E21" s="106"/>
      <c r="F21" s="88"/>
      <c r="G21" s="88"/>
      <c r="H21" s="88"/>
      <c r="I21" s="88"/>
      <c r="J21" s="88"/>
      <c r="K21" s="88"/>
      <c r="L21" s="88"/>
      <c r="M21" s="2"/>
      <c r="N21" s="2"/>
      <c r="O21" s="2"/>
      <c r="P21" s="2"/>
      <c r="Q21" s="99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78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79"/>
    </row>
    <row r="22" spans="1:40" ht="32.25" thickBot="1" x14ac:dyDescent="0.3">
      <c r="A22" s="227"/>
      <c r="B22" s="90" t="s">
        <v>70</v>
      </c>
      <c r="C22" s="84" t="s">
        <v>71</v>
      </c>
      <c r="D22" s="29" t="e">
        <f>D12+D13+D14+D17+D18+D19+D25</f>
        <v>#VALUE!</v>
      </c>
      <c r="E22" s="106"/>
      <c r="F22" s="88"/>
      <c r="G22" s="88"/>
      <c r="H22" s="88"/>
      <c r="I22" s="88"/>
      <c r="J22" s="88"/>
      <c r="K22" s="88"/>
      <c r="L22" s="88"/>
      <c r="M22" s="2"/>
      <c r="N22" s="2"/>
      <c r="O22" s="2"/>
      <c r="P22" s="2"/>
      <c r="Q22" s="99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78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79"/>
    </row>
    <row r="23" spans="1:40" ht="31.15" customHeight="1" x14ac:dyDescent="0.25">
      <c r="A23" s="234" t="s">
        <v>72</v>
      </c>
      <c r="B23" s="124" t="s">
        <v>61</v>
      </c>
      <c r="C23" s="111"/>
      <c r="D23" s="130" t="s">
        <v>205</v>
      </c>
      <c r="E23" s="106"/>
      <c r="F23" s="88"/>
      <c r="G23" s="88"/>
      <c r="H23" s="88"/>
      <c r="I23" s="88"/>
      <c r="J23" s="88"/>
      <c r="K23" s="88"/>
      <c r="L23" s="88"/>
      <c r="M23" s="2"/>
      <c r="N23" s="2"/>
      <c r="O23" s="2"/>
      <c r="P23" s="2"/>
      <c r="Q23" s="99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78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79"/>
    </row>
    <row r="24" spans="1:40" ht="31.15" customHeight="1" x14ac:dyDescent="0.25">
      <c r="A24" s="219"/>
      <c r="B24" s="123" t="s">
        <v>73</v>
      </c>
      <c r="C24" s="5"/>
      <c r="D24" s="29" t="s">
        <v>206</v>
      </c>
      <c r="E24" s="106"/>
      <c r="F24" s="88"/>
      <c r="G24" s="88"/>
      <c r="H24" s="88"/>
      <c r="I24" s="88"/>
      <c r="J24" s="88"/>
      <c r="K24" s="88"/>
      <c r="L24" s="88"/>
      <c r="M24" s="2"/>
      <c r="N24" s="2"/>
      <c r="O24" s="2"/>
      <c r="P24" s="2"/>
      <c r="Q24" s="99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78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79"/>
    </row>
    <row r="25" spans="1:40" ht="16.5" thickBot="1" x14ac:dyDescent="0.3">
      <c r="A25" s="220"/>
      <c r="B25" s="125" t="s">
        <v>74</v>
      </c>
      <c r="C25" s="113"/>
      <c r="D25" s="131" t="s">
        <v>207</v>
      </c>
      <c r="E25" s="106"/>
      <c r="F25" s="88"/>
      <c r="G25" s="88"/>
      <c r="H25" s="88"/>
      <c r="I25" s="88"/>
      <c r="J25" s="88"/>
      <c r="K25" s="88"/>
      <c r="L25" s="88"/>
      <c r="M25" s="2"/>
      <c r="N25" s="2"/>
      <c r="O25" s="2"/>
      <c r="P25" s="2"/>
      <c r="Q25" s="99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78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79"/>
    </row>
    <row r="26" spans="1:40" ht="15.75" x14ac:dyDescent="0.25">
      <c r="A26" s="219" t="s">
        <v>75</v>
      </c>
      <c r="B26" s="8" t="s">
        <v>76</v>
      </c>
      <c r="C26" s="5"/>
      <c r="D26" s="29">
        <f t="shared" ref="D26:D27" si="0">SUM(E26:AN26)</f>
        <v>0</v>
      </c>
      <c r="E26" s="106"/>
      <c r="F26" s="88"/>
      <c r="G26" s="88"/>
      <c r="H26" s="88"/>
      <c r="I26" s="88"/>
      <c r="J26" s="88"/>
      <c r="K26" s="88"/>
      <c r="L26" s="88"/>
      <c r="M26" s="2"/>
      <c r="N26" s="2"/>
      <c r="O26" s="2"/>
      <c r="P26" s="2"/>
      <c r="Q26" s="9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78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79"/>
    </row>
    <row r="27" spans="1:40" ht="16.5" thickBot="1" x14ac:dyDescent="0.3">
      <c r="A27" s="220"/>
      <c r="B27" s="122" t="s">
        <v>73</v>
      </c>
      <c r="C27" s="113" t="s">
        <v>77</v>
      </c>
      <c r="D27" s="29">
        <f t="shared" si="0"/>
        <v>0</v>
      </c>
      <c r="E27" s="106"/>
      <c r="F27" s="88"/>
      <c r="G27" s="88"/>
      <c r="H27" s="88"/>
      <c r="I27" s="88"/>
      <c r="J27" s="88"/>
      <c r="K27" s="88"/>
      <c r="L27" s="88"/>
      <c r="M27" s="2"/>
      <c r="N27" s="2"/>
      <c r="O27" s="2"/>
      <c r="P27" s="2"/>
      <c r="Q27" s="97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78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79"/>
    </row>
    <row r="28" spans="1:40" ht="47.25" x14ac:dyDescent="0.25">
      <c r="A28" s="56"/>
      <c r="B28" s="110" t="s">
        <v>78</v>
      </c>
      <c r="C28" s="111" t="s">
        <v>79</v>
      </c>
      <c r="D28" s="107" t="s">
        <v>208</v>
      </c>
      <c r="E28" s="133"/>
      <c r="F28" s="103"/>
      <c r="G28" s="159"/>
      <c r="H28" s="103"/>
      <c r="I28" s="103"/>
      <c r="J28" s="103"/>
      <c r="K28" s="103"/>
      <c r="L28" s="103"/>
      <c r="M28" s="12"/>
      <c r="N28" s="12"/>
      <c r="O28" s="12"/>
      <c r="P28" s="12"/>
      <c r="Q28" s="78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78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79"/>
    </row>
    <row r="29" spans="1:40" ht="15.75" x14ac:dyDescent="0.25">
      <c r="A29" s="215"/>
      <c r="B29" s="213" t="s">
        <v>81</v>
      </c>
      <c r="C29" s="112" t="s">
        <v>82</v>
      </c>
      <c r="D29" s="107" t="s">
        <v>209</v>
      </c>
      <c r="E29" s="133"/>
      <c r="F29" s="103"/>
      <c r="G29" s="103"/>
      <c r="H29" s="103"/>
      <c r="I29" s="103"/>
      <c r="J29" s="103"/>
      <c r="K29" s="103"/>
      <c r="L29" s="103"/>
      <c r="M29" s="12"/>
      <c r="N29" s="12"/>
      <c r="O29" s="12"/>
      <c r="P29" s="12"/>
      <c r="Q29" s="78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78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79"/>
    </row>
    <row r="30" spans="1:40" ht="15.75" x14ac:dyDescent="0.25">
      <c r="A30" s="216"/>
      <c r="B30" s="214"/>
      <c r="C30" s="5" t="s">
        <v>83</v>
      </c>
      <c r="D30" s="108" t="s">
        <v>210</v>
      </c>
      <c r="E30" s="133"/>
      <c r="F30" s="103"/>
      <c r="G30" s="103"/>
      <c r="H30" s="103"/>
      <c r="I30" s="103"/>
      <c r="J30" s="103"/>
      <c r="K30" s="103"/>
      <c r="L30" s="103"/>
      <c r="M30" s="12"/>
      <c r="N30" s="12"/>
      <c r="O30" s="12"/>
      <c r="P30" s="12"/>
      <c r="Q30" s="78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78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79"/>
    </row>
    <row r="31" spans="1:40" ht="16.5" thickBot="1" x14ac:dyDescent="0.3">
      <c r="A31" s="216"/>
      <c r="B31" s="214"/>
      <c r="C31" s="5" t="s">
        <v>84</v>
      </c>
      <c r="D31" s="108" t="s">
        <v>211</v>
      </c>
      <c r="E31" s="133"/>
      <c r="F31" s="103"/>
      <c r="G31" s="103"/>
      <c r="H31" s="103"/>
      <c r="I31" s="103"/>
      <c r="J31" s="103"/>
      <c r="K31" s="103"/>
      <c r="L31" s="103"/>
      <c r="M31" s="12"/>
      <c r="N31" s="12"/>
      <c r="O31" s="12"/>
      <c r="P31" s="12"/>
      <c r="Q31" s="78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78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79"/>
    </row>
    <row r="32" spans="1:40" ht="47.25" x14ac:dyDescent="0.25">
      <c r="A32" s="215"/>
      <c r="B32" s="213" t="s">
        <v>85</v>
      </c>
      <c r="C32" s="115" t="s">
        <v>86</v>
      </c>
      <c r="D32" s="107" t="s">
        <v>212</v>
      </c>
      <c r="E32" s="133"/>
      <c r="F32" s="103"/>
      <c r="G32" s="103"/>
      <c r="H32" s="103"/>
      <c r="I32" s="103"/>
      <c r="J32" s="103"/>
      <c r="K32" s="103"/>
      <c r="L32" s="103"/>
      <c r="M32" s="12"/>
      <c r="N32" s="12"/>
      <c r="O32" s="12"/>
      <c r="P32" s="12"/>
      <c r="Q32" s="78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78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79"/>
    </row>
    <row r="33" spans="1:40" ht="32.25" thickBot="1" x14ac:dyDescent="0.3">
      <c r="A33" s="218"/>
      <c r="B33" s="217"/>
      <c r="C33" s="114" t="s">
        <v>87</v>
      </c>
      <c r="D33" s="132" t="s">
        <v>213</v>
      </c>
      <c r="E33" s="133"/>
      <c r="F33" s="103"/>
      <c r="G33" s="103"/>
      <c r="H33" s="103"/>
      <c r="I33" s="103"/>
      <c r="J33" s="103"/>
      <c r="K33" s="103"/>
      <c r="L33" s="103"/>
      <c r="M33" s="12"/>
      <c r="N33" s="12"/>
      <c r="O33" s="12"/>
      <c r="P33" s="12"/>
      <c r="Q33" s="78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78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79"/>
    </row>
    <row r="34" spans="1:40" ht="31.5" x14ac:dyDescent="0.25">
      <c r="A34" s="216"/>
      <c r="B34" s="224" t="s">
        <v>88</v>
      </c>
      <c r="C34" s="84" t="s">
        <v>89</v>
      </c>
      <c r="D34" s="108" t="s">
        <v>214</v>
      </c>
      <c r="E34" s="133"/>
      <c r="F34" s="103"/>
      <c r="G34" s="103"/>
      <c r="H34" s="103"/>
      <c r="I34" s="103"/>
      <c r="J34" s="103"/>
      <c r="K34" s="103"/>
      <c r="L34" s="103"/>
      <c r="M34" s="12"/>
      <c r="N34" s="12"/>
      <c r="O34" s="12"/>
      <c r="P34" s="12"/>
      <c r="Q34" s="78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78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79"/>
    </row>
    <row r="35" spans="1:40" ht="32.25" thickBot="1" x14ac:dyDescent="0.3">
      <c r="A35" s="218"/>
      <c r="B35" s="225"/>
      <c r="C35" s="114" t="s">
        <v>90</v>
      </c>
      <c r="D35" s="132" t="s">
        <v>215</v>
      </c>
      <c r="E35" s="80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0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0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2"/>
    </row>
    <row r="41" spans="1:40" x14ac:dyDescent="0.25">
      <c r="M41" s="11"/>
    </row>
  </sheetData>
  <mergeCells count="41">
    <mergeCell ref="B34:B35"/>
    <mergeCell ref="A34:A35"/>
    <mergeCell ref="A20:A22"/>
    <mergeCell ref="A9:A14"/>
    <mergeCell ref="A15:A19"/>
    <mergeCell ref="A23:A25"/>
    <mergeCell ref="AC1:AN1"/>
    <mergeCell ref="B29:B31"/>
    <mergeCell ref="A29:A31"/>
    <mergeCell ref="B32:B33"/>
    <mergeCell ref="A32:A33"/>
    <mergeCell ref="A26:A27"/>
    <mergeCell ref="A4:A7"/>
    <mergeCell ref="P8:Q8"/>
    <mergeCell ref="R8:S8"/>
    <mergeCell ref="A8:B8"/>
    <mergeCell ref="V8:W8"/>
    <mergeCell ref="X8:Y8"/>
    <mergeCell ref="Z8:AA8"/>
    <mergeCell ref="X3:Y3"/>
    <mergeCell ref="Z3:AA3"/>
    <mergeCell ref="E8:F8"/>
    <mergeCell ref="G8:H8"/>
    <mergeCell ref="I8:J8"/>
    <mergeCell ref="K8:L8"/>
    <mergeCell ref="N8:O8"/>
    <mergeCell ref="T8:U8"/>
    <mergeCell ref="A3:B3"/>
    <mergeCell ref="V3:W3"/>
    <mergeCell ref="R3:S3"/>
    <mergeCell ref="T3:U3"/>
    <mergeCell ref="C1:C2"/>
    <mergeCell ref="D1:D2"/>
    <mergeCell ref="E3:F3"/>
    <mergeCell ref="G3:H3"/>
    <mergeCell ref="I3:J3"/>
    <mergeCell ref="E1:P1"/>
    <mergeCell ref="K3:L3"/>
    <mergeCell ref="N3:O3"/>
    <mergeCell ref="P3:Q3"/>
    <mergeCell ref="Q1:AB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4C0A-182E-486B-88A3-C99DF0E346E9}">
  <dimension ref="A1:AM17"/>
  <sheetViews>
    <sheetView topLeftCell="T1" workbookViewId="0">
      <selection activeCell="E15" sqref="E15"/>
    </sheetView>
  </sheetViews>
  <sheetFormatPr defaultRowHeight="15" x14ac:dyDescent="0.25"/>
  <cols>
    <col min="1" max="1" width="33.5703125" bestFit="1" customWidth="1"/>
    <col min="2" max="2" width="20.7109375" bestFit="1" customWidth="1"/>
    <col min="3" max="3" width="18.28515625" bestFit="1" customWidth="1"/>
    <col min="7" max="7" width="11" customWidth="1"/>
    <col min="9" max="9" width="12.5703125" customWidth="1"/>
  </cols>
  <sheetData>
    <row r="1" spans="1:39" x14ac:dyDescent="0.25">
      <c r="A1" s="9"/>
      <c r="B1" s="201" t="s">
        <v>0</v>
      </c>
      <c r="C1" s="203" t="s">
        <v>1</v>
      </c>
      <c r="D1" s="205" t="s">
        <v>2</v>
      </c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  <c r="P1" s="191" t="s">
        <v>3</v>
      </c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3" t="s">
        <v>4</v>
      </c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5"/>
    </row>
    <row r="2" spans="1:39" ht="17.25" customHeight="1" x14ac:dyDescent="0.25">
      <c r="A2" s="10"/>
      <c r="B2" s="202"/>
      <c r="C2" s="204"/>
      <c r="D2" s="126" t="s">
        <v>5</v>
      </c>
      <c r="E2" s="126" t="s">
        <v>6</v>
      </c>
      <c r="F2" s="126" t="s">
        <v>7</v>
      </c>
      <c r="G2" s="126" t="s">
        <v>8</v>
      </c>
      <c r="H2" s="126" t="s">
        <v>9</v>
      </c>
      <c r="I2" s="126" t="s">
        <v>10</v>
      </c>
      <c r="J2" s="126" t="s">
        <v>11</v>
      </c>
      <c r="K2" s="126" t="s">
        <v>12</v>
      </c>
      <c r="L2" s="126" t="s">
        <v>13</v>
      </c>
      <c r="M2" s="126" t="s">
        <v>14</v>
      </c>
      <c r="N2" s="126" t="s">
        <v>15</v>
      </c>
      <c r="O2" s="147" t="s">
        <v>16</v>
      </c>
      <c r="P2" s="128" t="s">
        <v>17</v>
      </c>
      <c r="Q2" s="128" t="s">
        <v>18</v>
      </c>
      <c r="R2" s="128" t="s">
        <v>19</v>
      </c>
      <c r="S2" s="128" t="s">
        <v>20</v>
      </c>
      <c r="T2" s="128" t="s">
        <v>21</v>
      </c>
      <c r="U2" s="128" t="s">
        <v>22</v>
      </c>
      <c r="V2" s="128" t="s">
        <v>23</v>
      </c>
      <c r="W2" s="128" t="s">
        <v>24</v>
      </c>
      <c r="X2" s="128" t="s">
        <v>25</v>
      </c>
      <c r="Y2" s="128" t="s">
        <v>26</v>
      </c>
      <c r="Z2" s="129" t="s">
        <v>27</v>
      </c>
      <c r="AA2" s="63" t="s">
        <v>28</v>
      </c>
      <c r="AB2" s="55" t="s">
        <v>29</v>
      </c>
      <c r="AC2" s="55" t="s">
        <v>30</v>
      </c>
      <c r="AD2" s="55" t="s">
        <v>31</v>
      </c>
      <c r="AE2" s="55" t="s">
        <v>32</v>
      </c>
      <c r="AF2" s="55" t="s">
        <v>33</v>
      </c>
      <c r="AG2" s="55" t="s">
        <v>34</v>
      </c>
      <c r="AH2" s="55" t="s">
        <v>35</v>
      </c>
      <c r="AI2" s="55" t="s">
        <v>36</v>
      </c>
      <c r="AJ2" s="55" t="s">
        <v>37</v>
      </c>
      <c r="AK2" s="55" t="s">
        <v>38</v>
      </c>
      <c r="AL2" s="64" t="s">
        <v>39</v>
      </c>
      <c r="AM2" s="64" t="s">
        <v>40</v>
      </c>
    </row>
    <row r="3" spans="1:39" ht="36" customHeight="1" x14ac:dyDescent="0.25">
      <c r="A3" s="196" t="s">
        <v>91</v>
      </c>
      <c r="B3" s="111" t="s">
        <v>92</v>
      </c>
      <c r="C3" s="140" t="s">
        <v>216</v>
      </c>
      <c r="D3" s="91"/>
      <c r="E3" s="92"/>
      <c r="F3" s="92"/>
      <c r="G3" s="92"/>
      <c r="H3" s="92"/>
      <c r="I3" s="165"/>
      <c r="J3" s="166"/>
      <c r="K3" s="92"/>
      <c r="L3" s="92"/>
      <c r="M3" s="92"/>
      <c r="N3" s="92"/>
      <c r="O3" s="92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1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3"/>
    </row>
    <row r="4" spans="1:39" ht="18" customHeight="1" thickBot="1" x14ac:dyDescent="0.3">
      <c r="A4" s="197"/>
      <c r="B4" s="83" t="s">
        <v>93</v>
      </c>
      <c r="C4" s="6">
        <f t="shared" ref="C4" si="0">COUNTIFS(D4:AM4,"*")</f>
        <v>0</v>
      </c>
      <c r="D4" s="7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78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78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79"/>
    </row>
    <row r="5" spans="1:39" ht="18" customHeight="1" x14ac:dyDescent="0.25">
      <c r="A5" s="196" t="s">
        <v>94</v>
      </c>
      <c r="B5" s="112" t="s">
        <v>95</v>
      </c>
      <c r="C5" s="140" t="s">
        <v>217</v>
      </c>
      <c r="D5" s="78"/>
      <c r="E5" s="158"/>
      <c r="F5" s="158"/>
      <c r="G5" s="12"/>
      <c r="H5" s="12"/>
      <c r="I5" s="12"/>
      <c r="J5" s="12"/>
      <c r="K5" s="12"/>
      <c r="L5" s="12"/>
      <c r="M5" s="12"/>
      <c r="N5" s="12"/>
      <c r="O5" s="12"/>
      <c r="P5" s="78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78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79"/>
    </row>
    <row r="6" spans="1:39" ht="18" customHeight="1" x14ac:dyDescent="0.25">
      <c r="A6" s="197"/>
      <c r="B6" s="83" t="s">
        <v>96</v>
      </c>
      <c r="C6" s="6" t="s">
        <v>218</v>
      </c>
      <c r="D6" s="78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78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78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79"/>
    </row>
    <row r="7" spans="1:39" ht="32.25" thickBot="1" x14ac:dyDescent="0.3">
      <c r="A7" s="238"/>
      <c r="B7" s="139" t="s">
        <v>97</v>
      </c>
      <c r="C7" s="141" t="s">
        <v>219</v>
      </c>
      <c r="D7" s="7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78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78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79"/>
    </row>
    <row r="8" spans="1:39" ht="42" customHeight="1" x14ac:dyDescent="0.25">
      <c r="A8" s="197" t="s">
        <v>98</v>
      </c>
      <c r="B8" s="109" t="s">
        <v>99</v>
      </c>
      <c r="C8" s="6" t="s">
        <v>220</v>
      </c>
      <c r="D8" s="78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78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78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79"/>
    </row>
    <row r="9" spans="1:39" ht="31.9" customHeight="1" thickBot="1" x14ac:dyDescent="0.3">
      <c r="A9" s="197"/>
      <c r="B9" s="84" t="s">
        <v>100</v>
      </c>
      <c r="C9" s="6" t="s">
        <v>221</v>
      </c>
      <c r="D9" s="7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7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78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79"/>
    </row>
    <row r="10" spans="1:39" ht="55.15" customHeight="1" thickBot="1" x14ac:dyDescent="0.35">
      <c r="A10" s="72" t="s">
        <v>101</v>
      </c>
      <c r="B10" s="120" t="s">
        <v>102</v>
      </c>
      <c r="C10" s="144" t="s">
        <v>222</v>
      </c>
      <c r="D10" s="78"/>
      <c r="E10" s="12"/>
      <c r="F10" s="12"/>
      <c r="G10" s="142"/>
      <c r="H10" s="143"/>
      <c r="I10" s="142"/>
      <c r="J10" s="142"/>
      <c r="K10" s="12"/>
      <c r="L10" s="12"/>
      <c r="M10" s="12"/>
      <c r="N10" s="12"/>
      <c r="O10" s="12"/>
      <c r="P10" s="78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78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79"/>
    </row>
    <row r="11" spans="1:39" ht="14.45" customHeight="1" x14ac:dyDescent="0.25">
      <c r="A11" s="235" t="s">
        <v>103</v>
      </c>
      <c r="B11" s="112" t="s">
        <v>104</v>
      </c>
      <c r="C11" s="140" t="s">
        <v>223</v>
      </c>
      <c r="D11" s="78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78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78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79"/>
    </row>
    <row r="12" spans="1:39" ht="15.6" customHeight="1" x14ac:dyDescent="0.25">
      <c r="A12" s="236"/>
      <c r="B12" s="83" t="s">
        <v>105</v>
      </c>
      <c r="C12" s="6" t="s">
        <v>224</v>
      </c>
      <c r="D12" s="7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78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78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79"/>
    </row>
    <row r="13" spans="1:39" ht="15.6" customHeight="1" thickBot="1" x14ac:dyDescent="0.3">
      <c r="A13" s="237"/>
      <c r="B13" s="117" t="s">
        <v>106</v>
      </c>
      <c r="C13" s="141" t="s">
        <v>225</v>
      </c>
      <c r="D13" s="80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0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0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2"/>
    </row>
    <row r="17" spans="5:5" x14ac:dyDescent="0.25">
      <c r="E17" s="39"/>
    </row>
  </sheetData>
  <mergeCells count="9">
    <mergeCell ref="P1:AA1"/>
    <mergeCell ref="AB1:AM1"/>
    <mergeCell ref="A8:A9"/>
    <mergeCell ref="A3:A4"/>
    <mergeCell ref="A11:A13"/>
    <mergeCell ref="A5:A7"/>
    <mergeCell ref="B1:B2"/>
    <mergeCell ref="C1:C2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2F3A-7AD9-41F1-9B3B-3DA3641C9EB1}">
  <dimension ref="A1:AM109"/>
  <sheetViews>
    <sheetView zoomScaleNormal="100" workbookViewId="0">
      <selection activeCell="C22" sqref="C22"/>
    </sheetView>
  </sheetViews>
  <sheetFormatPr defaultRowHeight="15" x14ac:dyDescent="0.25"/>
  <cols>
    <col min="1" max="1" width="33.5703125" bestFit="1" customWidth="1"/>
    <col min="2" max="2" width="22.7109375" customWidth="1"/>
    <col min="3" max="3" width="18.28515625" bestFit="1" customWidth="1"/>
    <col min="4" max="4" width="9.85546875" customWidth="1"/>
    <col min="5" max="5" width="9.85546875" bestFit="1" customWidth="1"/>
    <col min="6" max="6" width="9.28515625" bestFit="1" customWidth="1"/>
    <col min="7" max="7" width="10.5703125" bestFit="1" customWidth="1"/>
    <col min="8" max="8" width="9.42578125" bestFit="1" customWidth="1"/>
    <col min="9" max="9" width="10.140625" bestFit="1" customWidth="1"/>
  </cols>
  <sheetData>
    <row r="1" spans="1:39" x14ac:dyDescent="0.25">
      <c r="A1" s="9"/>
      <c r="B1" s="201" t="s">
        <v>0</v>
      </c>
      <c r="C1" s="203" t="s">
        <v>1</v>
      </c>
      <c r="D1" s="205" t="s">
        <v>2</v>
      </c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  <c r="P1" s="191" t="s">
        <v>3</v>
      </c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3" t="s">
        <v>4</v>
      </c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5"/>
    </row>
    <row r="2" spans="1:39" x14ac:dyDescent="0.25">
      <c r="A2" s="10"/>
      <c r="B2" s="202"/>
      <c r="C2" s="204"/>
      <c r="D2" s="126" t="s">
        <v>5</v>
      </c>
      <c r="E2" s="126" t="s">
        <v>6</v>
      </c>
      <c r="F2" s="126" t="s">
        <v>7</v>
      </c>
      <c r="G2" s="126" t="s">
        <v>8</v>
      </c>
      <c r="H2" s="126" t="s">
        <v>9</v>
      </c>
      <c r="I2" s="126" t="s">
        <v>10</v>
      </c>
      <c r="J2" s="126" t="s">
        <v>11</v>
      </c>
      <c r="K2" s="126" t="s">
        <v>12</v>
      </c>
      <c r="L2" s="126" t="s">
        <v>13</v>
      </c>
      <c r="M2" s="126" t="s">
        <v>14</v>
      </c>
      <c r="N2" s="126" t="s">
        <v>15</v>
      </c>
      <c r="O2" s="147" t="s">
        <v>16</v>
      </c>
      <c r="P2" s="128" t="s">
        <v>17</v>
      </c>
      <c r="Q2" s="128" t="s">
        <v>18</v>
      </c>
      <c r="R2" s="128" t="s">
        <v>19</v>
      </c>
      <c r="S2" s="128" t="s">
        <v>20</v>
      </c>
      <c r="T2" s="128" t="s">
        <v>21</v>
      </c>
      <c r="U2" s="128" t="s">
        <v>22</v>
      </c>
      <c r="V2" s="128" t="s">
        <v>23</v>
      </c>
      <c r="W2" s="128" t="s">
        <v>24</v>
      </c>
      <c r="X2" s="128" t="s">
        <v>25</v>
      </c>
      <c r="Y2" s="128" t="s">
        <v>26</v>
      </c>
      <c r="Z2" s="129" t="s">
        <v>27</v>
      </c>
      <c r="AA2" s="63" t="s">
        <v>28</v>
      </c>
      <c r="AB2" s="55" t="s">
        <v>29</v>
      </c>
      <c r="AC2" s="55" t="s">
        <v>30</v>
      </c>
      <c r="AD2" s="55" t="s">
        <v>31</v>
      </c>
      <c r="AE2" s="55" t="s">
        <v>32</v>
      </c>
      <c r="AF2" s="55" t="s">
        <v>33</v>
      </c>
      <c r="AG2" s="55" t="s">
        <v>34</v>
      </c>
      <c r="AH2" s="55" t="s">
        <v>35</v>
      </c>
      <c r="AI2" s="55" t="s">
        <v>36</v>
      </c>
      <c r="AJ2" s="55" t="s">
        <v>37</v>
      </c>
      <c r="AK2" s="55" t="s">
        <v>38</v>
      </c>
      <c r="AL2" s="64" t="s">
        <v>39</v>
      </c>
      <c r="AM2" s="64" t="s">
        <v>40</v>
      </c>
    </row>
    <row r="3" spans="1:39" ht="15.6" customHeight="1" x14ac:dyDescent="0.25">
      <c r="A3" s="241" t="s">
        <v>107</v>
      </c>
      <c r="B3" s="65" t="s">
        <v>108</v>
      </c>
      <c r="C3" s="6" t="s">
        <v>226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1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1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3"/>
    </row>
    <row r="4" spans="1:39" ht="18" customHeight="1" x14ac:dyDescent="0.25">
      <c r="A4" s="242"/>
      <c r="B4" s="66" t="s">
        <v>109</v>
      </c>
      <c r="C4" s="6" t="s">
        <v>227</v>
      </c>
      <c r="D4" s="7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78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78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79"/>
    </row>
    <row r="5" spans="1:39" ht="18" customHeight="1" x14ac:dyDescent="0.25">
      <c r="A5" s="242"/>
      <c r="B5" s="66" t="s">
        <v>110</v>
      </c>
      <c r="C5" s="6" t="s">
        <v>228</v>
      </c>
      <c r="D5" s="78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78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78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79"/>
    </row>
    <row r="6" spans="1:39" ht="18" customHeight="1" x14ac:dyDescent="0.25">
      <c r="A6" s="242"/>
      <c r="B6" s="66" t="s">
        <v>111</v>
      </c>
      <c r="C6" s="6" t="s">
        <v>229</v>
      </c>
      <c r="D6" s="78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78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78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79"/>
    </row>
    <row r="7" spans="1:39" ht="18" customHeight="1" x14ac:dyDescent="0.25">
      <c r="A7" s="242"/>
      <c r="B7" s="66" t="s">
        <v>112</v>
      </c>
      <c r="C7" s="6" t="s">
        <v>230</v>
      </c>
      <c r="D7" s="7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78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78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79"/>
    </row>
    <row r="8" spans="1:39" ht="32.450000000000003" customHeight="1" thickBot="1" x14ac:dyDescent="0.3">
      <c r="A8" s="243"/>
      <c r="B8" s="67" t="s">
        <v>113</v>
      </c>
      <c r="C8" s="6" t="s">
        <v>231</v>
      </c>
      <c r="D8" s="78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78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78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79"/>
    </row>
    <row r="9" spans="1:39" ht="25.15" customHeight="1" x14ac:dyDescent="0.25">
      <c r="A9" s="241" t="s">
        <v>114</v>
      </c>
      <c r="B9" s="68" t="s">
        <v>115</v>
      </c>
      <c r="C9" s="6" t="s">
        <v>232</v>
      </c>
      <c r="D9" s="7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7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78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79"/>
    </row>
    <row r="10" spans="1:39" ht="18.600000000000001" customHeight="1" thickBot="1" x14ac:dyDescent="0.3">
      <c r="A10" s="243"/>
      <c r="B10" s="69" t="s">
        <v>116</v>
      </c>
      <c r="C10" s="6" t="s">
        <v>233</v>
      </c>
      <c r="D10" s="78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78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78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79"/>
    </row>
    <row r="11" spans="1:39" ht="17.45" customHeight="1" x14ac:dyDescent="0.25">
      <c r="A11" s="244" t="s">
        <v>117</v>
      </c>
      <c r="B11" s="70" t="s">
        <v>118</v>
      </c>
      <c r="C11" s="6" t="s">
        <v>234</v>
      </c>
      <c r="D11" s="78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78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78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79"/>
    </row>
    <row r="12" spans="1:39" ht="18" customHeight="1" x14ac:dyDescent="0.25">
      <c r="A12" s="245"/>
      <c r="B12" s="71" t="s">
        <v>119</v>
      </c>
      <c r="C12" s="6" t="s">
        <v>235</v>
      </c>
      <c r="D12" s="7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78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78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79"/>
    </row>
    <row r="13" spans="1:39" ht="18" customHeight="1" thickBot="1" x14ac:dyDescent="0.3">
      <c r="A13" s="245"/>
      <c r="B13" s="71" t="s">
        <v>120</v>
      </c>
      <c r="C13" s="6" t="s">
        <v>236</v>
      </c>
      <c r="D13" s="7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78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78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79"/>
    </row>
    <row r="14" spans="1:39" ht="20.45" customHeight="1" x14ac:dyDescent="0.25">
      <c r="A14" s="246" t="s">
        <v>121</v>
      </c>
      <c r="B14" s="73" t="s">
        <v>122</v>
      </c>
      <c r="C14" s="6" t="s">
        <v>237</v>
      </c>
      <c r="D14" s="78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78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78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79"/>
    </row>
    <row r="15" spans="1:39" ht="18" customHeight="1" thickBot="1" x14ac:dyDescent="0.3">
      <c r="A15" s="247"/>
      <c r="B15" s="74" t="s">
        <v>123</v>
      </c>
      <c r="C15" s="6" t="s">
        <v>238</v>
      </c>
      <c r="D15" s="78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78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78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79"/>
    </row>
    <row r="16" spans="1:39" ht="24.6" customHeight="1" x14ac:dyDescent="0.25">
      <c r="A16" s="239" t="s">
        <v>124</v>
      </c>
      <c r="B16" s="75" t="s">
        <v>125</v>
      </c>
      <c r="C16" s="6" t="s">
        <v>239</v>
      </c>
      <c r="D16" s="78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78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78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79"/>
    </row>
    <row r="17" spans="1:39" ht="49.15" customHeight="1" thickBot="1" x14ac:dyDescent="0.3">
      <c r="A17" s="240"/>
      <c r="B17" s="76" t="s">
        <v>126</v>
      </c>
      <c r="C17" s="6" t="s">
        <v>240</v>
      </c>
      <c r="D17" s="78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78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78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79"/>
    </row>
    <row r="18" spans="1:39" ht="25.15" customHeight="1" x14ac:dyDescent="0.25">
      <c r="A18" s="235" t="s">
        <v>127</v>
      </c>
      <c r="B18" s="75" t="s">
        <v>128</v>
      </c>
      <c r="C18" s="6" t="s">
        <v>241</v>
      </c>
      <c r="D18" s="78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78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78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79"/>
    </row>
    <row r="19" spans="1:39" ht="18" customHeight="1" x14ac:dyDescent="0.25">
      <c r="A19" s="236"/>
      <c r="B19" s="85" t="s">
        <v>129</v>
      </c>
      <c r="C19" s="6" t="s">
        <v>242</v>
      </c>
      <c r="D19" s="78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78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78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79"/>
    </row>
    <row r="20" spans="1:39" ht="18" customHeight="1" x14ac:dyDescent="0.25">
      <c r="A20" s="236"/>
      <c r="B20" s="85" t="s">
        <v>130</v>
      </c>
      <c r="C20" s="6" t="s">
        <v>243</v>
      </c>
      <c r="D20" s="78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78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78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79"/>
    </row>
    <row r="21" spans="1:39" ht="15.75" x14ac:dyDescent="0.25">
      <c r="A21" s="237"/>
      <c r="B21" s="86" t="s">
        <v>131</v>
      </c>
      <c r="C21" s="6" t="s">
        <v>244</v>
      </c>
      <c r="D21" s="78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78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78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79"/>
    </row>
    <row r="22" spans="1:39" ht="34.15" customHeight="1" x14ac:dyDescent="0.3">
      <c r="A22" s="145" t="s">
        <v>78</v>
      </c>
      <c r="B22" s="146" t="s">
        <v>132</v>
      </c>
      <c r="C22" s="6" t="s">
        <v>245</v>
      </c>
      <c r="D22" s="9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0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0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2"/>
    </row>
    <row r="23" spans="1:39" x14ac:dyDescent="0.25">
      <c r="B23" s="54"/>
    </row>
    <row r="24" spans="1:39" x14ac:dyDescent="0.25">
      <c r="B24" s="54"/>
    </row>
    <row r="25" spans="1:39" x14ac:dyDescent="0.25">
      <c r="B25" s="54"/>
    </row>
    <row r="26" spans="1:39" x14ac:dyDescent="0.25">
      <c r="B26" s="54"/>
    </row>
    <row r="27" spans="1:39" x14ac:dyDescent="0.25">
      <c r="B27" s="54"/>
    </row>
    <row r="28" spans="1:39" x14ac:dyDescent="0.25">
      <c r="B28" s="54"/>
    </row>
    <row r="29" spans="1:39" x14ac:dyDescent="0.25">
      <c r="B29" s="54"/>
    </row>
    <row r="30" spans="1:39" x14ac:dyDescent="0.25">
      <c r="B30" s="54"/>
    </row>
    <row r="31" spans="1:39" x14ac:dyDescent="0.25">
      <c r="B31" s="54"/>
    </row>
    <row r="32" spans="1:39" x14ac:dyDescent="0.25">
      <c r="B32" s="54"/>
    </row>
    <row r="33" spans="2:2" x14ac:dyDescent="0.25">
      <c r="B33" s="54"/>
    </row>
    <row r="34" spans="2:2" x14ac:dyDescent="0.25">
      <c r="B34" s="54"/>
    </row>
    <row r="35" spans="2:2" x14ac:dyDescent="0.25">
      <c r="B35" s="54"/>
    </row>
    <row r="36" spans="2:2" x14ac:dyDescent="0.25">
      <c r="B36" s="54"/>
    </row>
    <row r="37" spans="2:2" x14ac:dyDescent="0.25">
      <c r="B37" s="54"/>
    </row>
    <row r="38" spans="2:2" x14ac:dyDescent="0.25">
      <c r="B38" s="54"/>
    </row>
    <row r="39" spans="2:2" x14ac:dyDescent="0.25">
      <c r="B39" s="54"/>
    </row>
    <row r="40" spans="2:2" x14ac:dyDescent="0.25">
      <c r="B40" s="54"/>
    </row>
    <row r="41" spans="2:2" x14ac:dyDescent="0.25">
      <c r="B41" s="54"/>
    </row>
    <row r="42" spans="2:2" x14ac:dyDescent="0.25">
      <c r="B42" s="54"/>
    </row>
    <row r="43" spans="2:2" x14ac:dyDescent="0.25">
      <c r="B43" s="54"/>
    </row>
    <row r="44" spans="2:2" x14ac:dyDescent="0.25">
      <c r="B44" s="54"/>
    </row>
    <row r="45" spans="2:2" x14ac:dyDescent="0.25">
      <c r="B45" s="54"/>
    </row>
    <row r="46" spans="2:2" x14ac:dyDescent="0.25">
      <c r="B46" s="54"/>
    </row>
    <row r="47" spans="2:2" x14ac:dyDescent="0.25">
      <c r="B47" s="54"/>
    </row>
    <row r="48" spans="2:2" x14ac:dyDescent="0.25">
      <c r="B48" s="54"/>
    </row>
    <row r="49" spans="2:2" x14ac:dyDescent="0.25">
      <c r="B49" s="54"/>
    </row>
    <row r="50" spans="2:2" x14ac:dyDescent="0.25">
      <c r="B50" s="54"/>
    </row>
    <row r="51" spans="2:2" x14ac:dyDescent="0.25">
      <c r="B51" s="54"/>
    </row>
    <row r="52" spans="2:2" x14ac:dyDescent="0.25">
      <c r="B52" s="54"/>
    </row>
    <row r="53" spans="2:2" x14ac:dyDescent="0.25">
      <c r="B53" s="54"/>
    </row>
    <row r="54" spans="2:2" x14ac:dyDescent="0.25">
      <c r="B54" s="54"/>
    </row>
    <row r="55" spans="2:2" x14ac:dyDescent="0.25">
      <c r="B55" s="54"/>
    </row>
    <row r="56" spans="2:2" x14ac:dyDescent="0.25">
      <c r="B56" s="54"/>
    </row>
    <row r="57" spans="2:2" x14ac:dyDescent="0.25">
      <c r="B57" s="54"/>
    </row>
    <row r="58" spans="2:2" x14ac:dyDescent="0.25">
      <c r="B58" s="54"/>
    </row>
    <row r="59" spans="2:2" x14ac:dyDescent="0.25">
      <c r="B59" s="54"/>
    </row>
    <row r="60" spans="2:2" x14ac:dyDescent="0.25">
      <c r="B60" s="54"/>
    </row>
    <row r="61" spans="2:2" x14ac:dyDescent="0.25">
      <c r="B61" s="54"/>
    </row>
    <row r="62" spans="2:2" x14ac:dyDescent="0.25">
      <c r="B62" s="54"/>
    </row>
    <row r="63" spans="2:2" x14ac:dyDescent="0.25">
      <c r="B63" s="54"/>
    </row>
    <row r="64" spans="2:2" x14ac:dyDescent="0.25">
      <c r="B64" s="54"/>
    </row>
    <row r="65" spans="2:2" x14ac:dyDescent="0.25">
      <c r="B65" s="54"/>
    </row>
    <row r="66" spans="2:2" x14ac:dyDescent="0.25">
      <c r="B66" s="54"/>
    </row>
    <row r="67" spans="2:2" x14ac:dyDescent="0.25">
      <c r="B67" s="54"/>
    </row>
    <row r="68" spans="2:2" x14ac:dyDescent="0.25">
      <c r="B68" s="54"/>
    </row>
    <row r="69" spans="2:2" x14ac:dyDescent="0.25">
      <c r="B69" s="54"/>
    </row>
    <row r="70" spans="2:2" x14ac:dyDescent="0.25">
      <c r="B70" s="54"/>
    </row>
    <row r="71" spans="2:2" x14ac:dyDescent="0.25">
      <c r="B71" s="54"/>
    </row>
    <row r="72" spans="2:2" x14ac:dyDescent="0.25">
      <c r="B72" s="54"/>
    </row>
    <row r="73" spans="2:2" x14ac:dyDescent="0.25">
      <c r="B73" s="54"/>
    </row>
    <row r="74" spans="2:2" x14ac:dyDescent="0.25">
      <c r="B74" s="54"/>
    </row>
    <row r="75" spans="2:2" x14ac:dyDescent="0.25">
      <c r="B75" s="54"/>
    </row>
    <row r="76" spans="2:2" x14ac:dyDescent="0.25">
      <c r="B76" s="54"/>
    </row>
    <row r="77" spans="2:2" x14ac:dyDescent="0.25">
      <c r="B77" s="54"/>
    </row>
    <row r="78" spans="2:2" x14ac:dyDescent="0.25">
      <c r="B78" s="54"/>
    </row>
    <row r="79" spans="2:2" x14ac:dyDescent="0.25">
      <c r="B79" s="54"/>
    </row>
    <row r="80" spans="2:2" x14ac:dyDescent="0.25">
      <c r="B80" s="54"/>
    </row>
    <row r="81" spans="2:2" x14ac:dyDescent="0.25">
      <c r="B81" s="54"/>
    </row>
    <row r="82" spans="2:2" x14ac:dyDescent="0.25">
      <c r="B82" s="54"/>
    </row>
    <row r="83" spans="2:2" x14ac:dyDescent="0.25">
      <c r="B83" s="54"/>
    </row>
    <row r="84" spans="2:2" x14ac:dyDescent="0.25">
      <c r="B84" s="54"/>
    </row>
    <row r="85" spans="2:2" x14ac:dyDescent="0.25">
      <c r="B85" s="54"/>
    </row>
    <row r="86" spans="2:2" x14ac:dyDescent="0.25">
      <c r="B86" s="54"/>
    </row>
    <row r="87" spans="2:2" x14ac:dyDescent="0.25">
      <c r="B87" s="54"/>
    </row>
    <row r="88" spans="2:2" x14ac:dyDescent="0.25">
      <c r="B88" s="54"/>
    </row>
    <row r="89" spans="2:2" x14ac:dyDescent="0.25">
      <c r="B89" s="54"/>
    </row>
    <row r="90" spans="2:2" x14ac:dyDescent="0.25">
      <c r="B90" s="54"/>
    </row>
    <row r="91" spans="2:2" x14ac:dyDescent="0.25">
      <c r="B91" s="54"/>
    </row>
    <row r="92" spans="2:2" x14ac:dyDescent="0.25">
      <c r="B92" s="54"/>
    </row>
    <row r="93" spans="2:2" x14ac:dyDescent="0.25">
      <c r="B93" s="54"/>
    </row>
    <row r="94" spans="2:2" x14ac:dyDescent="0.25">
      <c r="B94" s="54"/>
    </row>
    <row r="95" spans="2:2" x14ac:dyDescent="0.25">
      <c r="B95" s="54"/>
    </row>
    <row r="96" spans="2:2" x14ac:dyDescent="0.25">
      <c r="B96" s="54"/>
    </row>
    <row r="97" spans="2:2" x14ac:dyDescent="0.25">
      <c r="B97" s="54"/>
    </row>
    <row r="98" spans="2:2" x14ac:dyDescent="0.25">
      <c r="B98" s="54"/>
    </row>
    <row r="99" spans="2:2" x14ac:dyDescent="0.25">
      <c r="B99" s="54"/>
    </row>
    <row r="100" spans="2:2" x14ac:dyDescent="0.25">
      <c r="B100" s="54"/>
    </row>
    <row r="101" spans="2:2" x14ac:dyDescent="0.25">
      <c r="B101" s="54"/>
    </row>
    <row r="102" spans="2:2" x14ac:dyDescent="0.25">
      <c r="B102" s="54"/>
    </row>
    <row r="103" spans="2:2" x14ac:dyDescent="0.25">
      <c r="B103" s="54"/>
    </row>
    <row r="104" spans="2:2" x14ac:dyDescent="0.25">
      <c r="B104" s="54"/>
    </row>
    <row r="105" spans="2:2" x14ac:dyDescent="0.25">
      <c r="B105" s="54"/>
    </row>
    <row r="106" spans="2:2" x14ac:dyDescent="0.25">
      <c r="B106" s="54"/>
    </row>
    <row r="107" spans="2:2" x14ac:dyDescent="0.25">
      <c r="B107" s="54"/>
    </row>
    <row r="108" spans="2:2" x14ac:dyDescent="0.25">
      <c r="B108" s="54"/>
    </row>
    <row r="109" spans="2:2" x14ac:dyDescent="0.25">
      <c r="B109" s="54"/>
    </row>
  </sheetData>
  <mergeCells count="11">
    <mergeCell ref="A18:A21"/>
    <mergeCell ref="A16:A17"/>
    <mergeCell ref="A3:A8"/>
    <mergeCell ref="A9:A10"/>
    <mergeCell ref="AB1:AM1"/>
    <mergeCell ref="A11:A13"/>
    <mergeCell ref="A14:A15"/>
    <mergeCell ref="D1:O1"/>
    <mergeCell ref="P1:AA1"/>
    <mergeCell ref="B1:B2"/>
    <mergeCell ref="C1:C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9C4B-BCAF-4DCA-AB96-533D03D74FB4}">
  <dimension ref="C2:H2"/>
  <sheetViews>
    <sheetView workbookViewId="0">
      <selection activeCell="A2" sqref="A2:A7"/>
    </sheetView>
  </sheetViews>
  <sheetFormatPr defaultRowHeight="15" x14ac:dyDescent="0.25"/>
  <cols>
    <col min="2" max="2" width="84.42578125" bestFit="1" customWidth="1"/>
    <col min="4" max="4" width="17.140625" bestFit="1" customWidth="1"/>
  </cols>
  <sheetData>
    <row r="2" spans="3:8" x14ac:dyDescent="0.25">
      <c r="C2" s="168"/>
      <c r="H2" s="1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5428-D509-4A51-9EC5-11DFE69ABED8}">
  <dimension ref="A1:AT86"/>
  <sheetViews>
    <sheetView workbookViewId="0">
      <pane ySplit="1" topLeftCell="A2" activePane="bottomLeft" state="frozen"/>
      <selection pane="bottomLeft" activeCell="G2" sqref="G2"/>
    </sheetView>
  </sheetViews>
  <sheetFormatPr defaultRowHeight="15" customHeight="1" x14ac:dyDescent="0.25"/>
  <cols>
    <col min="1" max="1" width="17.140625" customWidth="1"/>
    <col min="2" max="2" width="30.28515625" style="49" customWidth="1"/>
    <col min="3" max="3" width="34.7109375" customWidth="1"/>
    <col min="4" max="4" width="12.5703125" customWidth="1"/>
    <col min="5" max="5" width="25.7109375" customWidth="1"/>
    <col min="6" max="6" width="37.28515625" customWidth="1"/>
    <col min="7" max="7" width="30.28515625" customWidth="1"/>
    <col min="8" max="8" width="11.140625" bestFit="1" customWidth="1"/>
    <col min="9" max="9" width="23.42578125" customWidth="1"/>
    <col min="10" max="14" width="22.28515625" customWidth="1"/>
    <col min="15" max="15" width="30.28515625" customWidth="1"/>
    <col min="16" max="16" width="30.7109375" customWidth="1"/>
    <col min="17" max="17" width="36.5703125" bestFit="1" customWidth="1"/>
    <col min="19" max="19" width="9.5703125" bestFit="1" customWidth="1"/>
    <col min="20" max="20" width="14.85546875" customWidth="1"/>
    <col min="21" max="21" width="44.28515625" customWidth="1"/>
    <col min="22" max="22" width="28.5703125" bestFit="1" customWidth="1"/>
  </cols>
  <sheetData>
    <row r="1" spans="1:46" s="32" customFormat="1" ht="31.5" x14ac:dyDescent="0.25">
      <c r="A1" s="32" t="s">
        <v>133</v>
      </c>
      <c r="B1" s="32" t="s">
        <v>134</v>
      </c>
      <c r="C1" s="32" t="s">
        <v>135</v>
      </c>
      <c r="D1" s="32" t="s">
        <v>136</v>
      </c>
      <c r="E1" s="32" t="s">
        <v>137</v>
      </c>
      <c r="F1" s="33" t="s">
        <v>138</v>
      </c>
      <c r="G1" s="32" t="s">
        <v>139</v>
      </c>
      <c r="H1" s="32" t="s">
        <v>140</v>
      </c>
      <c r="I1" s="32" t="s">
        <v>141</v>
      </c>
      <c r="J1" s="33" t="s">
        <v>142</v>
      </c>
      <c r="K1" s="33" t="s">
        <v>143</v>
      </c>
      <c r="L1" s="33" t="s">
        <v>144</v>
      </c>
      <c r="M1" s="33" t="s">
        <v>145</v>
      </c>
      <c r="N1" s="33" t="s">
        <v>146</v>
      </c>
      <c r="O1" s="32" t="s">
        <v>147</v>
      </c>
      <c r="P1" s="32" t="s">
        <v>148</v>
      </c>
      <c r="Q1" s="33" t="s">
        <v>149</v>
      </c>
      <c r="R1" s="32" t="s">
        <v>150</v>
      </c>
      <c r="S1" s="32" t="s">
        <v>151</v>
      </c>
      <c r="T1" s="32" t="s">
        <v>152</v>
      </c>
      <c r="U1" s="32" t="s">
        <v>153</v>
      </c>
    </row>
    <row r="2" spans="1:46" s="31" customFormat="1" ht="28.5" customHeight="1" x14ac:dyDescent="0.25">
      <c r="A2" s="34"/>
      <c r="B2" s="44"/>
      <c r="C2" s="34"/>
      <c r="D2" s="34"/>
      <c r="E2" s="38"/>
      <c r="F2" s="38"/>
      <c r="G2" s="148" t="b">
        <v>0</v>
      </c>
      <c r="H2" s="148" t="b">
        <v>1</v>
      </c>
      <c r="I2" s="148" t="b">
        <v>1</v>
      </c>
      <c r="J2" s="148" t="b">
        <v>1</v>
      </c>
      <c r="K2" s="148" t="b">
        <v>0</v>
      </c>
      <c r="L2" s="148" t="b">
        <v>0</v>
      </c>
      <c r="M2" s="148" t="b">
        <v>0</v>
      </c>
      <c r="N2" s="148" t="b">
        <v>0</v>
      </c>
      <c r="O2" s="148" t="b">
        <v>1</v>
      </c>
      <c r="P2" s="148" t="b">
        <v>1</v>
      </c>
      <c r="Q2" s="148" t="b">
        <v>0</v>
      </c>
      <c r="R2" s="34"/>
      <c r="S2" s="148" t="b">
        <v>0</v>
      </c>
      <c r="T2" s="34" t="s">
        <v>154</v>
      </c>
      <c r="U2" s="36"/>
      <c r="V2" s="37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</row>
    <row r="3" spans="1:46" s="31" customFormat="1" ht="24" customHeight="1" x14ac:dyDescent="0.25">
      <c r="A3" s="50"/>
      <c r="B3" s="51"/>
      <c r="C3" s="50"/>
      <c r="D3" s="50"/>
      <c r="E3" s="52"/>
      <c r="F3" s="52"/>
      <c r="G3" s="50"/>
      <c r="H3" s="149" t="b">
        <v>0</v>
      </c>
      <c r="I3" s="149" t="b">
        <v>0</v>
      </c>
      <c r="J3" s="149" t="b">
        <v>0</v>
      </c>
      <c r="K3" s="149" t="b">
        <v>0</v>
      </c>
      <c r="L3" s="149" t="b">
        <v>0</v>
      </c>
      <c r="M3" s="149" t="b">
        <v>0</v>
      </c>
      <c r="N3" s="149" t="b">
        <v>0</v>
      </c>
      <c r="O3" s="149" t="b">
        <v>0</v>
      </c>
      <c r="P3" s="149" t="b">
        <v>0</v>
      </c>
      <c r="Q3" s="149" t="b">
        <v>0</v>
      </c>
      <c r="R3" s="50"/>
      <c r="S3" s="149" t="b">
        <v>0</v>
      </c>
      <c r="T3" s="50"/>
      <c r="U3" s="53"/>
      <c r="V3" s="40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</row>
    <row r="4" spans="1:46" s="31" customFormat="1" x14ac:dyDescent="0.25">
      <c r="A4" s="34"/>
      <c r="B4" s="44"/>
      <c r="C4" s="35"/>
      <c r="D4" s="34"/>
      <c r="E4" s="37"/>
      <c r="F4" s="37"/>
      <c r="G4" s="34"/>
      <c r="H4" s="148" t="b">
        <v>0</v>
      </c>
      <c r="I4" s="148" t="b">
        <v>0</v>
      </c>
      <c r="J4" s="148" t="b">
        <v>0</v>
      </c>
      <c r="K4" s="148" t="b">
        <v>0</v>
      </c>
      <c r="L4" s="148" t="b">
        <v>0</v>
      </c>
      <c r="M4" s="148" t="b">
        <v>0</v>
      </c>
      <c r="N4" s="148" t="b">
        <v>0</v>
      </c>
      <c r="O4" s="148" t="b">
        <v>0</v>
      </c>
      <c r="P4" s="148" t="b">
        <v>0</v>
      </c>
      <c r="Q4" s="148" t="b">
        <v>0</v>
      </c>
      <c r="R4" s="34"/>
      <c r="S4" s="148" t="b">
        <v>0</v>
      </c>
      <c r="T4" s="34"/>
      <c r="U4" s="34"/>
      <c r="V4" s="36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</row>
    <row r="5" spans="1:46" s="31" customFormat="1" x14ac:dyDescent="0.25">
      <c r="A5" s="34"/>
      <c r="B5" s="44"/>
      <c r="C5" s="34"/>
      <c r="D5" s="34"/>
      <c r="E5" s="37"/>
      <c r="F5" s="37"/>
      <c r="G5" s="148" t="b">
        <v>0</v>
      </c>
      <c r="H5" s="148" t="b">
        <v>0</v>
      </c>
      <c r="I5" s="148" t="b">
        <v>0</v>
      </c>
      <c r="J5" s="148" t="b">
        <v>0</v>
      </c>
      <c r="K5" s="148" t="b">
        <v>0</v>
      </c>
      <c r="L5" s="148" t="b">
        <v>0</v>
      </c>
      <c r="M5" s="148" t="b">
        <v>0</v>
      </c>
      <c r="N5" s="148" t="b">
        <v>0</v>
      </c>
      <c r="O5" s="148" t="b">
        <v>0</v>
      </c>
      <c r="P5" s="148" t="b">
        <v>0</v>
      </c>
      <c r="Q5" s="148" t="b">
        <v>0</v>
      </c>
      <c r="R5" s="34"/>
      <c r="S5" s="148" t="b">
        <v>0</v>
      </c>
      <c r="T5" s="34" t="s">
        <v>155</v>
      </c>
      <c r="U5" s="36"/>
      <c r="V5" s="36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</row>
    <row r="6" spans="1:46" s="31" customFormat="1" x14ac:dyDescent="0.25">
      <c r="A6" s="34"/>
      <c r="B6" s="45"/>
      <c r="C6" s="34"/>
      <c r="D6" s="34"/>
      <c r="E6" s="37"/>
      <c r="F6" s="37"/>
      <c r="G6" s="148" t="b">
        <v>0</v>
      </c>
      <c r="H6" s="150" t="b">
        <v>0</v>
      </c>
      <c r="I6" s="148" t="b">
        <v>0</v>
      </c>
      <c r="J6" s="148" t="b">
        <v>0</v>
      </c>
      <c r="K6" s="148" t="b">
        <v>0</v>
      </c>
      <c r="L6" s="148" t="b">
        <v>0</v>
      </c>
      <c r="M6" s="148" t="b">
        <v>0</v>
      </c>
      <c r="N6" s="148" t="b">
        <v>0</v>
      </c>
      <c r="O6" s="148" t="b">
        <v>0</v>
      </c>
      <c r="P6" s="148" t="b">
        <v>0</v>
      </c>
      <c r="Q6" s="148" t="b">
        <v>0</v>
      </c>
      <c r="R6" s="34"/>
      <c r="S6" s="148" t="b">
        <v>0</v>
      </c>
      <c r="T6" s="34"/>
      <c r="U6" s="36"/>
      <c r="V6" s="36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</row>
    <row r="7" spans="1:46" s="31" customFormat="1" x14ac:dyDescent="0.25">
      <c r="A7" s="35"/>
      <c r="B7" s="46"/>
      <c r="C7" s="35"/>
      <c r="D7" s="34"/>
      <c r="E7" s="37"/>
      <c r="F7" s="37"/>
      <c r="G7" s="148" t="b">
        <v>0</v>
      </c>
      <c r="H7" s="148" t="b">
        <v>0</v>
      </c>
      <c r="I7" s="148" t="b">
        <v>0</v>
      </c>
      <c r="J7" s="148" t="b">
        <v>0</v>
      </c>
      <c r="K7" s="148" t="b">
        <v>0</v>
      </c>
      <c r="L7" s="148" t="b">
        <v>0</v>
      </c>
      <c r="M7" s="148" t="b">
        <v>0</v>
      </c>
      <c r="N7" s="148" t="b">
        <v>0</v>
      </c>
      <c r="O7" s="148" t="b">
        <v>0</v>
      </c>
      <c r="P7" s="148" t="b">
        <v>0</v>
      </c>
      <c r="Q7" s="148" t="b">
        <v>0</v>
      </c>
      <c r="R7" s="34"/>
      <c r="S7" s="148" t="b">
        <v>0</v>
      </c>
      <c r="T7" s="34"/>
      <c r="U7" s="36"/>
      <c r="V7" s="36"/>
      <c r="W7" s="36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</row>
    <row r="8" spans="1:46" s="31" customFormat="1" x14ac:dyDescent="0.25">
      <c r="A8" s="34"/>
      <c r="B8" s="44"/>
      <c r="C8" s="34"/>
      <c r="D8" s="34"/>
      <c r="E8" s="37"/>
      <c r="F8" s="37"/>
      <c r="G8" s="148" t="b">
        <v>0</v>
      </c>
      <c r="H8" s="148" t="b">
        <v>0</v>
      </c>
      <c r="I8" s="148" t="b">
        <v>0</v>
      </c>
      <c r="J8" s="148" t="b">
        <v>0</v>
      </c>
      <c r="K8" s="148" t="b">
        <v>0</v>
      </c>
      <c r="L8" s="148" t="b">
        <v>0</v>
      </c>
      <c r="M8" s="148" t="b">
        <v>0</v>
      </c>
      <c r="N8" s="148" t="b">
        <v>0</v>
      </c>
      <c r="O8" s="148" t="b">
        <v>0</v>
      </c>
      <c r="P8" s="148" t="b">
        <v>0</v>
      </c>
      <c r="Q8" s="148" t="b">
        <v>0</v>
      </c>
      <c r="R8" s="34"/>
      <c r="S8" s="148" t="b">
        <v>0</v>
      </c>
      <c r="T8" s="34"/>
      <c r="U8" s="36"/>
      <c r="V8" s="36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</row>
    <row r="9" spans="1:46" s="31" customFormat="1" x14ac:dyDescent="0.25">
      <c r="A9" s="34"/>
      <c r="B9" s="46"/>
      <c r="C9" s="35"/>
      <c r="D9" s="34"/>
      <c r="E9" s="37"/>
      <c r="F9" s="37"/>
      <c r="G9" s="148" t="b">
        <v>0</v>
      </c>
      <c r="H9" s="148" t="b">
        <v>0</v>
      </c>
      <c r="I9" s="148" t="b">
        <v>0</v>
      </c>
      <c r="J9" s="148" t="b">
        <v>0</v>
      </c>
      <c r="K9" s="148" t="b">
        <v>0</v>
      </c>
      <c r="L9" s="148" t="b">
        <v>0</v>
      </c>
      <c r="M9" s="148" t="b">
        <v>0</v>
      </c>
      <c r="N9" s="148" t="b">
        <v>0</v>
      </c>
      <c r="O9" s="148" t="b">
        <v>0</v>
      </c>
      <c r="P9" s="148" t="b">
        <v>0</v>
      </c>
      <c r="Q9" s="148" t="b">
        <v>0</v>
      </c>
      <c r="R9" s="34"/>
      <c r="S9" s="148" t="b">
        <v>0</v>
      </c>
      <c r="T9" s="34"/>
      <c r="U9" s="36"/>
      <c r="V9" s="36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</row>
    <row r="10" spans="1:46" s="31" customFormat="1" x14ac:dyDescent="0.25">
      <c r="A10" s="34"/>
      <c r="C10" s="35"/>
      <c r="D10" s="34"/>
      <c r="E10" s="37"/>
      <c r="F10" s="37"/>
      <c r="G10" s="148" t="b">
        <v>0</v>
      </c>
      <c r="H10" s="148" t="b">
        <v>0</v>
      </c>
      <c r="I10" s="148" t="b">
        <v>0</v>
      </c>
      <c r="J10" s="148" t="b">
        <v>0</v>
      </c>
      <c r="K10" s="148" t="b">
        <v>0</v>
      </c>
      <c r="L10" s="148" t="b">
        <v>0</v>
      </c>
      <c r="M10" s="148" t="b">
        <v>0</v>
      </c>
      <c r="N10" s="148" t="b">
        <v>0</v>
      </c>
      <c r="O10" s="148" t="b">
        <v>0</v>
      </c>
      <c r="P10" s="148" t="b">
        <v>0</v>
      </c>
      <c r="Q10" s="148" t="b">
        <v>0</v>
      </c>
      <c r="R10" s="34"/>
      <c r="S10" s="148" t="b">
        <v>0</v>
      </c>
      <c r="T10" s="34"/>
      <c r="U10" s="36"/>
      <c r="V10" s="36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</row>
    <row r="11" spans="1:46" s="31" customFormat="1" ht="28.5" customHeight="1" x14ac:dyDescent="0.25">
      <c r="A11" s="34"/>
      <c r="B11" s="46"/>
      <c r="C11" s="35"/>
      <c r="D11" s="34"/>
      <c r="E11" s="35"/>
      <c r="F11" s="37"/>
      <c r="G11" s="148" t="b">
        <v>0</v>
      </c>
      <c r="H11" s="148" t="b">
        <v>0</v>
      </c>
      <c r="I11" s="148" t="b">
        <v>0</v>
      </c>
      <c r="J11" s="148" t="b">
        <v>0</v>
      </c>
      <c r="K11" s="148" t="b">
        <v>0</v>
      </c>
      <c r="L11" s="148" t="b">
        <v>0</v>
      </c>
      <c r="M11" s="148" t="b">
        <v>0</v>
      </c>
      <c r="N11" s="148" t="b">
        <v>0</v>
      </c>
      <c r="O11" s="148" t="b">
        <v>0</v>
      </c>
      <c r="P11" s="148" t="b">
        <v>0</v>
      </c>
      <c r="Q11" s="148" t="b">
        <v>0</v>
      </c>
      <c r="R11" s="34"/>
      <c r="S11" s="148" t="b">
        <v>0</v>
      </c>
      <c r="T11" s="34"/>
      <c r="U11" s="34"/>
      <c r="V11" s="36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</row>
    <row r="12" spans="1:46" s="31" customFormat="1" ht="29.25" customHeight="1" x14ac:dyDescent="0.25">
      <c r="A12" s="34"/>
      <c r="B12" s="45"/>
      <c r="C12" s="34"/>
      <c r="D12" s="34"/>
      <c r="E12" s="37"/>
      <c r="F12" s="37"/>
      <c r="G12" s="148" t="b">
        <v>0</v>
      </c>
      <c r="H12" s="148" t="b">
        <v>0</v>
      </c>
      <c r="I12" s="148" t="b">
        <v>0</v>
      </c>
      <c r="J12" s="148" t="b">
        <v>0</v>
      </c>
      <c r="K12" s="148" t="b">
        <v>0</v>
      </c>
      <c r="L12" s="148" t="b">
        <v>0</v>
      </c>
      <c r="M12" s="148" t="b">
        <v>0</v>
      </c>
      <c r="N12" s="148" t="b">
        <v>0</v>
      </c>
      <c r="O12" s="148" t="b">
        <v>0</v>
      </c>
      <c r="P12" s="148" t="b">
        <v>0</v>
      </c>
      <c r="Q12" s="148" t="b">
        <v>0</v>
      </c>
      <c r="R12" s="34"/>
      <c r="S12" s="148" t="b">
        <v>0</v>
      </c>
      <c r="T12" s="34"/>
      <c r="U12" s="36"/>
      <c r="V12" s="36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</row>
    <row r="13" spans="1:46" s="31" customFormat="1" x14ac:dyDescent="0.25">
      <c r="A13" s="34"/>
      <c r="B13" s="47"/>
      <c r="C13" s="34"/>
      <c r="D13" s="34"/>
      <c r="E13" s="37"/>
      <c r="F13" s="35"/>
      <c r="G13" s="148" t="b">
        <v>0</v>
      </c>
      <c r="H13" s="148" t="b">
        <v>0</v>
      </c>
      <c r="I13" s="148" t="b">
        <v>0</v>
      </c>
      <c r="J13" s="148" t="b">
        <v>0</v>
      </c>
      <c r="K13" s="148" t="b">
        <v>0</v>
      </c>
      <c r="L13" s="148" t="b">
        <v>0</v>
      </c>
      <c r="M13" s="148" t="b">
        <v>0</v>
      </c>
      <c r="N13" s="148" t="b">
        <v>0</v>
      </c>
      <c r="O13" s="148" t="b">
        <v>0</v>
      </c>
      <c r="P13" s="148" t="b">
        <v>0</v>
      </c>
      <c r="Q13" s="148" t="b">
        <v>0</v>
      </c>
      <c r="R13" s="34"/>
      <c r="S13" s="148" t="b">
        <v>0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</row>
    <row r="14" spans="1:46" s="31" customFormat="1" x14ac:dyDescent="0.25">
      <c r="A14" s="34"/>
      <c r="B14" s="45"/>
      <c r="C14" s="34"/>
      <c r="D14" s="34"/>
      <c r="E14" s="37"/>
      <c r="F14" s="37"/>
      <c r="G14" s="148" t="b">
        <v>0</v>
      </c>
      <c r="H14" s="148" t="b">
        <v>0</v>
      </c>
      <c r="I14" s="148" t="b">
        <v>0</v>
      </c>
      <c r="J14" s="148" t="b">
        <v>0</v>
      </c>
      <c r="K14" s="148" t="b">
        <v>0</v>
      </c>
      <c r="L14" s="148" t="b">
        <v>0</v>
      </c>
      <c r="M14" s="148" t="b">
        <v>0</v>
      </c>
      <c r="N14" s="148" t="b">
        <v>0</v>
      </c>
      <c r="O14" s="148" t="b">
        <v>0</v>
      </c>
      <c r="P14" s="148" t="b">
        <v>0</v>
      </c>
      <c r="Q14" s="148" t="b">
        <v>0</v>
      </c>
      <c r="R14" s="34"/>
      <c r="S14" s="148" t="b">
        <v>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</row>
    <row r="15" spans="1:46" s="31" customFormat="1" x14ac:dyDescent="0.25">
      <c r="A15" s="34"/>
      <c r="B15" s="45"/>
      <c r="C15" s="34"/>
      <c r="D15" s="34"/>
      <c r="E15" s="37"/>
      <c r="F15" s="42"/>
      <c r="G15" s="148" t="b">
        <v>0</v>
      </c>
      <c r="H15" s="148" t="b">
        <v>0</v>
      </c>
      <c r="I15" s="148" t="b">
        <v>0</v>
      </c>
      <c r="J15" s="148" t="b">
        <v>0</v>
      </c>
      <c r="K15" s="148" t="b">
        <v>0</v>
      </c>
      <c r="L15" s="148" t="b">
        <v>0</v>
      </c>
      <c r="M15" s="148" t="b">
        <v>0</v>
      </c>
      <c r="N15" s="148" t="b">
        <v>0</v>
      </c>
      <c r="O15" s="148" t="b">
        <v>0</v>
      </c>
      <c r="P15" s="148" t="b">
        <v>0</v>
      </c>
      <c r="Q15" s="148" t="b">
        <v>0</v>
      </c>
      <c r="R15" s="34"/>
      <c r="S15" s="148" t="b">
        <v>0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</row>
    <row r="16" spans="1:46" s="31" customFormat="1" x14ac:dyDescent="0.25">
      <c r="A16" s="34"/>
      <c r="B16" s="44"/>
      <c r="C16" s="34"/>
      <c r="D16" s="34"/>
      <c r="E16" s="35"/>
      <c r="F16" s="37"/>
      <c r="G16" s="148" t="b">
        <v>0</v>
      </c>
      <c r="H16" s="148" t="b">
        <v>0</v>
      </c>
      <c r="I16" s="148" t="b">
        <v>0</v>
      </c>
      <c r="J16" s="148" t="b">
        <v>0</v>
      </c>
      <c r="K16" s="148" t="b">
        <v>0</v>
      </c>
      <c r="L16" s="148" t="b">
        <v>0</v>
      </c>
      <c r="M16" s="148" t="b">
        <v>0</v>
      </c>
      <c r="N16" s="148" t="b">
        <v>0</v>
      </c>
      <c r="O16" s="148" t="b">
        <v>0</v>
      </c>
      <c r="P16" s="148" t="b">
        <v>0</v>
      </c>
      <c r="Q16" s="148" t="b">
        <v>0</v>
      </c>
      <c r="R16" s="34"/>
      <c r="S16" s="148" t="b">
        <v>0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</row>
    <row r="17" spans="1:46" s="31" customFormat="1" x14ac:dyDescent="0.25">
      <c r="A17" s="34"/>
      <c r="B17" s="45"/>
      <c r="C17" s="34"/>
      <c r="D17" s="34"/>
      <c r="E17" s="37"/>
      <c r="F17" s="37"/>
      <c r="G17" s="148" t="b">
        <v>0</v>
      </c>
      <c r="H17" s="148" t="b">
        <v>0</v>
      </c>
      <c r="I17" s="148" t="b">
        <v>0</v>
      </c>
      <c r="J17" s="148" t="b">
        <v>0</v>
      </c>
      <c r="K17" s="148" t="b">
        <v>0</v>
      </c>
      <c r="L17" s="148" t="b">
        <v>0</v>
      </c>
      <c r="M17" s="148" t="b">
        <v>0</v>
      </c>
      <c r="N17" s="148" t="b">
        <v>0</v>
      </c>
      <c r="O17" s="148" t="b">
        <v>0</v>
      </c>
      <c r="P17" s="148" t="b">
        <v>0</v>
      </c>
      <c r="Q17" s="148" t="b">
        <v>0</v>
      </c>
      <c r="R17" s="34"/>
      <c r="S17" s="148" t="b">
        <v>0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</row>
    <row r="18" spans="1:46" s="31" customFormat="1" x14ac:dyDescent="0.25">
      <c r="A18" s="34"/>
      <c r="B18" s="45"/>
      <c r="C18" s="34"/>
      <c r="D18" s="34"/>
      <c r="E18" s="37"/>
      <c r="F18" s="37"/>
      <c r="G18" s="148" t="b">
        <v>0</v>
      </c>
      <c r="H18" s="148" t="b">
        <v>0</v>
      </c>
      <c r="I18" s="148" t="b">
        <v>0</v>
      </c>
      <c r="J18" s="148" t="b">
        <v>0</v>
      </c>
      <c r="K18" s="148" t="b">
        <v>0</v>
      </c>
      <c r="L18" s="148" t="b">
        <v>0</v>
      </c>
      <c r="M18" s="148" t="b">
        <v>0</v>
      </c>
      <c r="N18" s="148" t="b">
        <v>0</v>
      </c>
      <c r="O18" s="148" t="b">
        <v>0</v>
      </c>
      <c r="P18" s="148" t="b">
        <v>0</v>
      </c>
      <c r="Q18" s="148" t="b">
        <v>0</v>
      </c>
      <c r="R18" s="34"/>
      <c r="S18" s="148" t="b">
        <v>0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</row>
    <row r="19" spans="1:46" s="31" customFormat="1" x14ac:dyDescent="0.25">
      <c r="A19" s="34"/>
      <c r="B19" s="45"/>
      <c r="C19" s="34"/>
      <c r="D19" s="34"/>
      <c r="E19" s="37"/>
      <c r="F19" s="34"/>
      <c r="G19" s="148" t="b">
        <v>0</v>
      </c>
      <c r="H19" s="148" t="b">
        <v>0</v>
      </c>
      <c r="I19" s="148" t="b">
        <v>0</v>
      </c>
      <c r="J19" s="148" t="b">
        <v>0</v>
      </c>
      <c r="K19" s="148" t="b">
        <v>0</v>
      </c>
      <c r="L19" s="148" t="b">
        <v>0</v>
      </c>
      <c r="M19" s="148" t="b">
        <v>0</v>
      </c>
      <c r="N19" s="148" t="b">
        <v>0</v>
      </c>
      <c r="O19" s="148" t="b">
        <v>0</v>
      </c>
      <c r="P19" s="148" t="b">
        <v>0</v>
      </c>
      <c r="Q19" s="148" t="b">
        <v>0</v>
      </c>
      <c r="R19" s="34"/>
      <c r="S19" s="148" t="b">
        <v>0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</row>
    <row r="20" spans="1:46" s="31" customFormat="1" x14ac:dyDescent="0.25">
      <c r="A20" s="34"/>
      <c r="B20" s="44"/>
      <c r="C20" s="34"/>
      <c r="D20" s="34"/>
      <c r="E20" s="37"/>
      <c r="F20" s="34"/>
      <c r="G20" s="148" t="b">
        <v>0</v>
      </c>
      <c r="H20" s="148" t="b">
        <v>0</v>
      </c>
      <c r="I20" s="148" t="b">
        <v>0</v>
      </c>
      <c r="J20" s="148" t="b">
        <v>0</v>
      </c>
      <c r="K20" s="148" t="b">
        <v>0</v>
      </c>
      <c r="L20" s="148" t="b">
        <v>0</v>
      </c>
      <c r="M20" s="148" t="b">
        <v>0</v>
      </c>
      <c r="N20" s="148" t="b">
        <v>0</v>
      </c>
      <c r="O20" s="148" t="b">
        <v>0</v>
      </c>
      <c r="P20" s="148" t="b">
        <v>0</v>
      </c>
      <c r="Q20" s="148" t="b">
        <v>0</v>
      </c>
      <c r="R20" s="34"/>
      <c r="S20" s="148" t="b">
        <v>0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</row>
    <row r="21" spans="1:46" s="31" customFormat="1" x14ac:dyDescent="0.25">
      <c r="A21" s="34"/>
      <c r="B21" s="45"/>
      <c r="C21" s="34"/>
      <c r="D21" s="34"/>
      <c r="E21" s="37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</row>
    <row r="22" spans="1:46" s="31" customFormat="1" x14ac:dyDescent="0.25">
      <c r="A22" s="34"/>
      <c r="B22" s="48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</row>
    <row r="23" spans="1:46" s="31" customFormat="1" x14ac:dyDescent="0.25">
      <c r="A23" s="34"/>
      <c r="B23" s="48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</row>
    <row r="24" spans="1:46" s="31" customFormat="1" x14ac:dyDescent="0.25">
      <c r="A24" s="34"/>
      <c r="B24" s="45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</row>
    <row r="25" spans="1:46" s="31" customFormat="1" x14ac:dyDescent="0.25">
      <c r="B25" s="47"/>
    </row>
    <row r="26" spans="1:46" s="31" customFormat="1" x14ac:dyDescent="0.25">
      <c r="B26" s="47"/>
    </row>
    <row r="27" spans="1:46" s="31" customFormat="1" x14ac:dyDescent="0.25">
      <c r="B27" s="47"/>
    </row>
    <row r="28" spans="1:46" s="31" customFormat="1" x14ac:dyDescent="0.25">
      <c r="B28" s="47"/>
    </row>
    <row r="29" spans="1:46" s="31" customFormat="1" x14ac:dyDescent="0.25">
      <c r="B29" s="47"/>
    </row>
    <row r="30" spans="1:46" s="31" customFormat="1" x14ac:dyDescent="0.25">
      <c r="B30" s="47"/>
    </row>
    <row r="31" spans="1:46" s="31" customFormat="1" x14ac:dyDescent="0.25">
      <c r="B31" s="47"/>
    </row>
    <row r="32" spans="1:46" s="31" customFormat="1" x14ac:dyDescent="0.25">
      <c r="B32" s="47"/>
    </row>
    <row r="33" spans="2:2" s="31" customFormat="1" x14ac:dyDescent="0.25">
      <c r="B33" s="47"/>
    </row>
    <row r="34" spans="2:2" s="31" customFormat="1" x14ac:dyDescent="0.25">
      <c r="B34" s="47"/>
    </row>
    <row r="35" spans="2:2" s="31" customFormat="1" x14ac:dyDescent="0.25">
      <c r="B35" s="47"/>
    </row>
    <row r="36" spans="2:2" s="31" customFormat="1" x14ac:dyDescent="0.25">
      <c r="B36" s="47"/>
    </row>
    <row r="37" spans="2:2" s="31" customFormat="1" x14ac:dyDescent="0.25">
      <c r="B37" s="47"/>
    </row>
    <row r="38" spans="2:2" s="31" customFormat="1" x14ac:dyDescent="0.25">
      <c r="B38" s="47"/>
    </row>
    <row r="39" spans="2:2" s="31" customFormat="1" x14ac:dyDescent="0.25">
      <c r="B39" s="47"/>
    </row>
    <row r="40" spans="2:2" s="31" customFormat="1" x14ac:dyDescent="0.25">
      <c r="B40" s="47"/>
    </row>
    <row r="41" spans="2:2" s="31" customFormat="1" x14ac:dyDescent="0.25">
      <c r="B41" s="47"/>
    </row>
    <row r="42" spans="2:2" s="31" customFormat="1" x14ac:dyDescent="0.25">
      <c r="B42" s="47"/>
    </row>
    <row r="43" spans="2:2" s="31" customFormat="1" x14ac:dyDescent="0.25">
      <c r="B43" s="47"/>
    </row>
    <row r="44" spans="2:2" s="31" customFormat="1" x14ac:dyDescent="0.25">
      <c r="B44" s="47"/>
    </row>
    <row r="45" spans="2:2" s="31" customFormat="1" x14ac:dyDescent="0.25">
      <c r="B45" s="47"/>
    </row>
    <row r="46" spans="2:2" s="31" customFormat="1" x14ac:dyDescent="0.25">
      <c r="B46" s="47"/>
    </row>
    <row r="47" spans="2:2" s="31" customFormat="1" x14ac:dyDescent="0.25">
      <c r="B47" s="47"/>
    </row>
    <row r="48" spans="2:2" s="31" customFormat="1" x14ac:dyDescent="0.25">
      <c r="B48" s="47"/>
    </row>
    <row r="49" spans="2:4" s="31" customFormat="1" x14ac:dyDescent="0.25">
      <c r="B49" s="47"/>
    </row>
    <row r="50" spans="2:4" s="31" customFormat="1" x14ac:dyDescent="0.25">
      <c r="B50" s="47"/>
    </row>
    <row r="51" spans="2:4" s="31" customFormat="1" x14ac:dyDescent="0.25">
      <c r="B51" s="47"/>
    </row>
    <row r="52" spans="2:4" s="31" customFormat="1" x14ac:dyDescent="0.25">
      <c r="B52" s="47"/>
    </row>
    <row r="53" spans="2:4" s="31" customFormat="1" x14ac:dyDescent="0.25">
      <c r="B53" s="47"/>
    </row>
    <row r="54" spans="2:4" s="31" customFormat="1" x14ac:dyDescent="0.25">
      <c r="B54" s="47"/>
    </row>
    <row r="55" spans="2:4" s="31" customFormat="1" x14ac:dyDescent="0.25">
      <c r="B55" s="47"/>
    </row>
    <row r="56" spans="2:4" s="31" customFormat="1" x14ac:dyDescent="0.25">
      <c r="B56" s="47"/>
    </row>
    <row r="57" spans="2:4" s="31" customFormat="1" x14ac:dyDescent="0.25">
      <c r="B57" s="47"/>
    </row>
    <row r="58" spans="2:4" s="31" customFormat="1" x14ac:dyDescent="0.25">
      <c r="B58" s="47"/>
    </row>
    <row r="59" spans="2:4" s="31" customFormat="1" x14ac:dyDescent="0.25">
      <c r="B59" s="47"/>
    </row>
    <row r="60" spans="2:4" s="31" customFormat="1" x14ac:dyDescent="0.25">
      <c r="B60" s="47"/>
    </row>
    <row r="61" spans="2:4" s="31" customFormat="1" x14ac:dyDescent="0.25">
      <c r="B61" s="47"/>
    </row>
    <row r="62" spans="2:4" s="31" customFormat="1" x14ac:dyDescent="0.25">
      <c r="B62" s="47"/>
    </row>
    <row r="63" spans="2:4" s="31" customFormat="1" x14ac:dyDescent="0.25">
      <c r="B63" s="47"/>
    </row>
    <row r="64" spans="2:4" s="31" customFormat="1" x14ac:dyDescent="0.25">
      <c r="B64" s="47"/>
      <c r="D64" s="31" t="s">
        <v>156</v>
      </c>
    </row>
    <row r="65" spans="2:2" s="31" customFormat="1" x14ac:dyDescent="0.25">
      <c r="B65" s="47"/>
    </row>
    <row r="66" spans="2:2" s="31" customFormat="1" x14ac:dyDescent="0.25">
      <c r="B66" s="47"/>
    </row>
    <row r="67" spans="2:2" s="31" customFormat="1" x14ac:dyDescent="0.25">
      <c r="B67" s="47"/>
    </row>
    <row r="68" spans="2:2" s="31" customFormat="1" x14ac:dyDescent="0.25">
      <c r="B68" s="47"/>
    </row>
    <row r="69" spans="2:2" s="31" customFormat="1" x14ac:dyDescent="0.25">
      <c r="B69" s="47"/>
    </row>
    <row r="70" spans="2:2" s="31" customFormat="1" x14ac:dyDescent="0.25">
      <c r="B70" s="47"/>
    </row>
    <row r="71" spans="2:2" s="31" customFormat="1" x14ac:dyDescent="0.25">
      <c r="B71" s="47"/>
    </row>
    <row r="72" spans="2:2" s="31" customFormat="1" x14ac:dyDescent="0.25">
      <c r="B72" s="47"/>
    </row>
    <row r="73" spans="2:2" s="31" customFormat="1" x14ac:dyDescent="0.25">
      <c r="B73" s="47"/>
    </row>
    <row r="74" spans="2:2" s="31" customFormat="1" x14ac:dyDescent="0.25">
      <c r="B74" s="47"/>
    </row>
    <row r="75" spans="2:2" s="31" customFormat="1" x14ac:dyDescent="0.25">
      <c r="B75" s="47"/>
    </row>
    <row r="76" spans="2:2" s="31" customFormat="1" x14ac:dyDescent="0.25">
      <c r="B76" s="47"/>
    </row>
    <row r="77" spans="2:2" x14ac:dyDescent="0.25"/>
    <row r="85" spans="4:4" ht="15" customHeight="1" x14ac:dyDescent="0.25">
      <c r="D85" t="s">
        <v>157</v>
      </c>
    </row>
    <row r="86" spans="4:4" ht="15" customHeight="1" x14ac:dyDescent="0.25">
      <c r="D86" t="s">
        <v>158</v>
      </c>
    </row>
  </sheetData>
  <dataValidations count="7">
    <dataValidation allowBlank="1" showInputMessage="1" showErrorMessage="1" sqref="E1:F1 F16 E13:F14 E15:E16 E17:F1048576" xr:uid="{DBE32419-8611-44DE-9C32-80F1A2315C29}"/>
    <dataValidation type="list" allowBlank="1" showInputMessage="1" showErrorMessage="1" sqref="B28:B1048576 B1 A1 A78:A1048576" xr:uid="{90240338-BB17-4988-BD47-CB1941EF548B}">
      <formula1>"1-AUTH, 2-ENoLL, 3-AV, 4-SPLORO, 5-VILABS"</formula1>
    </dataValidation>
    <dataValidation type="list" allowBlank="1" showInputMessage="1" showErrorMessage="1" sqref="C1:C1048576" xr:uid="{45163071-FE7F-400D-9AC4-1E195B213342}">
      <formula1>"Clustering activities, Collaboration with EU-funded projects, Conferences, Education and training events, Meetings, Other, Other Scientific collaboration"</formula1>
    </dataValidation>
    <dataValidation type="list" allowBlank="1" showInputMessage="1" showErrorMessage="1" sqref="D1 D74:D1048576" xr:uid="{7D101B80-C5C6-4B64-A626-CE5B700964DC}">
      <formula1>"M1-OCT, M2-NOV, M3-DEC, M4-JAN, M5-FEB, M6-MAR, M7-APR, M8-MAY, M9-JUN, M10-JUL, M11-AUG, M12-SEP, M13-OCT, M14-NOV, M15-DEC, M16-JAN, M17-FEB, M18-MAR, M19-APR, M20-MAY, M21-JUN, M22-JUL, M23-AUG, M24-SEP "</formula1>
    </dataValidation>
    <dataValidation type="list" allowBlank="1" showInputMessage="1" showErrorMessage="1" sqref="A2:A77" xr:uid="{9416F7EA-257A-4D20-BBD6-2E75202783CE}">
      <formula1>"1-GFT, 2-SIE, 3-ETRA, 4-OTE, 5-INT, 6-UBI, 7-STAM, 8-D-VISOR, 9-VIL, 10-IANUS, 11-AEGIS, 12-DPR, 13-INNOV, 14-CXB, 14.1-CXBTECH, 15-ROT, 16-UPRC, 17-SED"</formula1>
    </dataValidation>
    <dataValidation type="list" allowBlank="1" showInputMessage="1" showErrorMessage="1" sqref="D21:D73" xr:uid="{0FCC537F-BF44-45D6-95FF-7C9A97D6B40D}">
      <formula1>"M1-DEC, M2-JAN, M3-FEB, M4-MAR, M5-APR, M6-MAY, M7-JUN, M8-JUL, M9-AUG, M10-SEP, M11-OCT, M12-NOV, M13-DEC, M14-JAN, M15-FEB, M16-MAR, M17-APR, M18-MAY, M19-JUN, M20-JUL, M21-AUG, M22-SEP, M23-OCT, M24-NOV, M25-DEC, M26-JAN, M27-FEB, M28-MAR, M29-APR"</formula1>
    </dataValidation>
    <dataValidation type="list" allowBlank="1" showInputMessage="1" showErrorMessage="1" sqref="D2:D20" xr:uid="{D0C4E41D-35B0-4E68-BC3B-DA66A6EDCFC6}">
      <formula1>"M1-JAN, M2-FEB, M3-MAR, M4-APR, M5-MAY, M6-JUN, M7-JUL, M8-AUG, M9-SEP, M10-OCT, M11-NOV, M-12 DEC"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E8C8-D24C-40AD-91E6-97E1AF41BAF8}">
  <dimension ref="A1:T1015"/>
  <sheetViews>
    <sheetView workbookViewId="0">
      <pane ySplit="1" topLeftCell="A30" activePane="bottomLeft" state="frozen"/>
      <selection pane="bottomLeft" activeCell="L2" sqref="L2"/>
    </sheetView>
  </sheetViews>
  <sheetFormatPr defaultColWidth="9.140625" defaultRowHeight="18.75" customHeight="1" x14ac:dyDescent="0.25"/>
  <cols>
    <col min="1" max="1" width="31.85546875" style="21" customWidth="1"/>
    <col min="2" max="2" width="24.42578125" style="21" customWidth="1"/>
    <col min="3" max="3" width="82" style="21" customWidth="1"/>
    <col min="4" max="4" width="28" style="21" customWidth="1"/>
    <col min="5" max="5" width="35.28515625" style="21" customWidth="1"/>
    <col min="6" max="6" width="9.140625" style="21"/>
    <col min="7" max="7" width="27.140625" style="21" customWidth="1"/>
    <col min="8" max="8" width="31.5703125" style="21" customWidth="1"/>
    <col min="9" max="9" width="26.7109375" style="21" customWidth="1"/>
    <col min="10" max="10" width="8.85546875" style="21" bestFit="1" customWidth="1"/>
    <col min="11" max="11" width="24.5703125" style="21" customWidth="1"/>
    <col min="12" max="12" width="30.85546875" style="21" customWidth="1"/>
    <col min="13" max="16384" width="9.140625" style="21"/>
  </cols>
  <sheetData>
    <row r="1" spans="1:20" customFormat="1" ht="24" x14ac:dyDescent="0.4">
      <c r="A1" s="151" t="s">
        <v>159</v>
      </c>
      <c r="B1" s="151" t="s">
        <v>160</v>
      </c>
      <c r="C1" s="152" t="s">
        <v>161</v>
      </c>
      <c r="D1" s="153" t="s">
        <v>162</v>
      </c>
      <c r="E1" s="153" t="s">
        <v>163</v>
      </c>
      <c r="F1" s="153" t="s">
        <v>164</v>
      </c>
      <c r="G1" s="153" t="s">
        <v>165</v>
      </c>
      <c r="H1" s="153" t="s">
        <v>166</v>
      </c>
      <c r="I1" s="153" t="s">
        <v>167</v>
      </c>
      <c r="J1" s="164" t="s">
        <v>168</v>
      </c>
      <c r="K1" s="164" t="s">
        <v>169</v>
      </c>
      <c r="L1" s="164" t="s">
        <v>170</v>
      </c>
    </row>
    <row r="2" spans="1:20" s="175" customFormat="1" x14ac:dyDescent="0.25">
      <c r="A2" s="171" t="s">
        <v>171</v>
      </c>
      <c r="B2" s="172"/>
      <c r="C2" s="173"/>
      <c r="D2" s="174"/>
      <c r="F2" s="176"/>
      <c r="J2" s="178"/>
      <c r="K2" s="178"/>
      <c r="L2" s="184"/>
      <c r="M2" s="178"/>
      <c r="N2" s="178"/>
      <c r="O2" s="178"/>
      <c r="P2" s="178"/>
      <c r="Q2" s="178"/>
      <c r="R2" s="178"/>
      <c r="S2" s="178"/>
      <c r="T2" s="180"/>
    </row>
    <row r="3" spans="1:20" x14ac:dyDescent="0.25">
      <c r="A3" s="171" t="s">
        <v>172</v>
      </c>
      <c r="B3" s="172"/>
      <c r="C3" s="173"/>
      <c r="D3" s="174"/>
      <c r="E3" s="175"/>
      <c r="F3" s="176"/>
      <c r="G3" s="175"/>
      <c r="H3" s="175"/>
      <c r="I3" s="175"/>
      <c r="J3" s="177"/>
      <c r="K3" s="178"/>
      <c r="L3" s="178"/>
      <c r="M3" s="178"/>
      <c r="N3" s="19"/>
      <c r="O3" s="19"/>
      <c r="P3" s="19"/>
      <c r="Q3" s="19"/>
      <c r="R3" s="19"/>
      <c r="S3" s="19"/>
      <c r="T3" s="20"/>
    </row>
    <row r="4" spans="1:20" s="175" customFormat="1" x14ac:dyDescent="0.25">
      <c r="A4" s="172" t="s">
        <v>173</v>
      </c>
      <c r="B4" s="172"/>
      <c r="C4" s="174"/>
      <c r="D4" s="174"/>
      <c r="E4" s="174"/>
      <c r="F4" s="177"/>
      <c r="G4" s="174"/>
      <c r="H4" s="181"/>
      <c r="I4" s="174"/>
      <c r="J4" s="177"/>
      <c r="K4" s="174"/>
      <c r="L4" s="178"/>
      <c r="M4" s="178"/>
      <c r="N4" s="178"/>
      <c r="O4" s="178"/>
      <c r="P4" s="178"/>
      <c r="Q4" s="178"/>
      <c r="R4" s="178"/>
      <c r="S4" s="178"/>
      <c r="T4" s="180"/>
    </row>
    <row r="5" spans="1:20" s="175" customFormat="1" x14ac:dyDescent="0.25">
      <c r="A5" s="172" t="s">
        <v>174</v>
      </c>
      <c r="B5" s="171"/>
      <c r="C5" s="174"/>
      <c r="D5" s="174"/>
      <c r="E5" s="174"/>
      <c r="F5" s="177"/>
      <c r="G5" s="173"/>
      <c r="H5" s="179"/>
      <c r="I5" s="174"/>
      <c r="J5" s="177"/>
      <c r="K5" s="178"/>
      <c r="L5" s="178"/>
      <c r="M5" s="178"/>
      <c r="N5" s="178"/>
      <c r="O5" s="178"/>
      <c r="P5" s="178"/>
      <c r="Q5" s="178"/>
      <c r="R5" s="178"/>
      <c r="S5" s="178"/>
      <c r="T5" s="180"/>
    </row>
    <row r="6" spans="1:20" s="175" customFormat="1" x14ac:dyDescent="0.25">
      <c r="A6" s="172" t="s">
        <v>175</v>
      </c>
      <c r="B6" s="171"/>
      <c r="C6" s="174"/>
      <c r="D6" s="183"/>
      <c r="E6" s="174"/>
      <c r="F6" s="177"/>
      <c r="G6" s="174"/>
      <c r="H6" s="174"/>
      <c r="I6" s="174"/>
      <c r="J6" s="177"/>
      <c r="L6" s="178"/>
      <c r="M6" s="178"/>
      <c r="N6" s="178"/>
      <c r="O6" s="178"/>
      <c r="P6" s="178"/>
      <c r="Q6" s="178"/>
      <c r="R6" s="178"/>
      <c r="S6" s="178"/>
      <c r="T6" s="180"/>
    </row>
    <row r="7" spans="1:20" s="175" customFormat="1" x14ac:dyDescent="0.25">
      <c r="A7" s="174" t="s">
        <v>176</v>
      </c>
      <c r="B7" s="171"/>
      <c r="D7" s="174"/>
      <c r="E7" s="174"/>
      <c r="F7" s="177"/>
      <c r="G7" s="174"/>
      <c r="H7" s="174"/>
      <c r="I7" s="174"/>
      <c r="J7" s="177"/>
      <c r="K7" s="178"/>
      <c r="L7" s="178"/>
      <c r="M7" s="178"/>
      <c r="N7" s="178"/>
      <c r="O7" s="178"/>
      <c r="P7" s="178"/>
      <c r="Q7" s="178"/>
      <c r="R7" s="178"/>
      <c r="S7" s="178"/>
      <c r="T7" s="180"/>
    </row>
    <row r="8" spans="1:20" x14ac:dyDescent="0.25">
      <c r="A8" s="162" t="s">
        <v>177</v>
      </c>
      <c r="B8" s="155"/>
      <c r="C8" s="154"/>
      <c r="D8" s="154"/>
      <c r="E8" s="154"/>
      <c r="F8" s="156"/>
      <c r="G8" s="154"/>
      <c r="H8" s="154"/>
      <c r="I8" s="154"/>
      <c r="J8" s="19"/>
      <c r="K8" s="19"/>
      <c r="L8" s="19"/>
      <c r="M8" s="19"/>
      <c r="N8" s="19"/>
      <c r="O8" s="19"/>
      <c r="P8" s="19"/>
      <c r="Q8" s="19"/>
      <c r="R8" s="19"/>
      <c r="S8" s="19"/>
      <c r="T8" s="20"/>
    </row>
    <row r="9" spans="1:20" s="190" customFormat="1" ht="99" customHeight="1" x14ac:dyDescent="0.25">
      <c r="A9" s="185" t="s">
        <v>178</v>
      </c>
      <c r="B9" s="185"/>
      <c r="C9" s="186"/>
      <c r="D9" s="186"/>
      <c r="E9" s="186"/>
      <c r="F9" s="187"/>
      <c r="G9" s="186"/>
      <c r="H9" s="185"/>
      <c r="I9" s="186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9"/>
    </row>
    <row r="10" spans="1:20" x14ac:dyDescent="0.25">
      <c r="A10" s="162" t="s">
        <v>179</v>
      </c>
      <c r="B10" s="155"/>
      <c r="C10" s="154"/>
      <c r="D10" s="154"/>
      <c r="E10" s="154"/>
      <c r="F10" s="154"/>
      <c r="G10" s="154"/>
      <c r="H10" s="154"/>
      <c r="I10" s="15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20"/>
    </row>
    <row r="11" spans="1:20" x14ac:dyDescent="0.25">
      <c r="A11" s="162" t="s">
        <v>179</v>
      </c>
      <c r="B11" s="155"/>
      <c r="C11" s="154"/>
      <c r="D11" s="154"/>
      <c r="E11" s="154"/>
      <c r="F11" s="154"/>
      <c r="G11" s="154"/>
      <c r="H11" s="154"/>
      <c r="I11" s="154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20" x14ac:dyDescent="0.25">
      <c r="A12" s="163" t="s">
        <v>180</v>
      </c>
      <c r="B12" s="155"/>
      <c r="C12" s="154"/>
      <c r="D12" s="161"/>
      <c r="E12" s="154"/>
      <c r="F12" s="154"/>
      <c r="G12" s="154"/>
      <c r="H12" s="160"/>
      <c r="I12" s="154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20"/>
    </row>
    <row r="13" spans="1:20" x14ac:dyDescent="0.25">
      <c r="A13" s="162" t="s">
        <v>181</v>
      </c>
      <c r="B13" s="155"/>
      <c r="C13" s="154"/>
      <c r="D13" s="154"/>
      <c r="E13" s="154"/>
      <c r="F13" s="156"/>
      <c r="G13" s="154"/>
      <c r="H13" s="154"/>
      <c r="I13" s="154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20"/>
    </row>
    <row r="14" spans="1:20" x14ac:dyDescent="0.25">
      <c r="A14" s="162" t="s">
        <v>181</v>
      </c>
      <c r="B14" s="155"/>
      <c r="C14" s="155"/>
      <c r="F14" s="157"/>
      <c r="I14" s="154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0"/>
    </row>
    <row r="15" spans="1:20" s="175" customFormat="1" x14ac:dyDescent="0.25">
      <c r="A15" s="172" t="s">
        <v>174</v>
      </c>
      <c r="B15" s="172"/>
      <c r="C15" s="172"/>
      <c r="D15" s="182"/>
      <c r="E15" s="174"/>
      <c r="F15" s="177"/>
      <c r="G15" s="174"/>
      <c r="H15" s="172"/>
      <c r="I15" s="174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80"/>
    </row>
    <row r="16" spans="1:20" s="175" customFormat="1" x14ac:dyDescent="0.25">
      <c r="A16" s="172" t="s">
        <v>174</v>
      </c>
      <c r="B16" s="172"/>
      <c r="C16" s="174"/>
      <c r="D16" s="182"/>
      <c r="E16" s="174"/>
      <c r="F16" s="177"/>
      <c r="G16" s="174"/>
      <c r="H16" s="174"/>
      <c r="I16" s="174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80"/>
    </row>
    <row r="17" spans="1:20" x14ac:dyDescent="0.25">
      <c r="A17" s="155"/>
      <c r="B17" s="155"/>
      <c r="C17" s="154"/>
      <c r="D17" s="154"/>
      <c r="E17" s="154"/>
      <c r="F17" s="156"/>
      <c r="G17" s="154"/>
      <c r="H17" s="154"/>
      <c r="I17" s="154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20"/>
    </row>
    <row r="18" spans="1:20" s="190" customFormat="1" ht="47.25" x14ac:dyDescent="0.25">
      <c r="A18" s="185" t="s">
        <v>182</v>
      </c>
      <c r="B18" s="185"/>
      <c r="C18" s="186"/>
      <c r="D18" s="186"/>
      <c r="E18" s="186"/>
      <c r="F18" s="186"/>
      <c r="G18" s="186"/>
      <c r="H18" s="186"/>
      <c r="I18" s="186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9"/>
    </row>
    <row r="19" spans="1:20" x14ac:dyDescent="0.25">
      <c r="A19" s="155" t="s">
        <v>80</v>
      </c>
      <c r="B19" s="155"/>
      <c r="C19" s="154"/>
      <c r="D19" s="154"/>
      <c r="E19" s="154"/>
      <c r="F19" s="156"/>
      <c r="G19" s="154"/>
      <c r="H19" s="154"/>
      <c r="I19" s="15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20"/>
    </row>
    <row r="20" spans="1:20" x14ac:dyDescent="0.25">
      <c r="A20" s="155" t="s">
        <v>80</v>
      </c>
      <c r="B20" s="155"/>
      <c r="C20" s="154"/>
      <c r="D20" s="154"/>
      <c r="E20" s="154"/>
      <c r="F20" s="156"/>
      <c r="G20" s="154"/>
      <c r="H20" s="154"/>
      <c r="I20" s="154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0"/>
    </row>
    <row r="21" spans="1:20" s="175" customFormat="1" ht="187.5" customHeight="1" x14ac:dyDescent="0.25">
      <c r="A21" s="184" t="s">
        <v>183</v>
      </c>
      <c r="B21" s="184"/>
      <c r="C21" s="178"/>
      <c r="D21" s="178"/>
      <c r="E21" s="178"/>
      <c r="F21" s="177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80"/>
    </row>
    <row r="22" spans="1:20" ht="127.5" customHeight="1" x14ac:dyDescent="0.25">
      <c r="A22" s="18" t="s">
        <v>181</v>
      </c>
      <c r="B22" s="18"/>
      <c r="C22" s="19"/>
      <c r="D22" s="19"/>
      <c r="E22" s="19"/>
      <c r="F22" s="156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20"/>
    </row>
    <row r="23" spans="1:20" x14ac:dyDescent="0.25">
      <c r="A23" s="18" t="s">
        <v>184</v>
      </c>
      <c r="B23" s="167"/>
      <c r="C23" s="19"/>
      <c r="D23" s="19"/>
      <c r="E23" s="19"/>
      <c r="F23" s="156"/>
      <c r="G23" s="19"/>
      <c r="H23" s="18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/>
    </row>
    <row r="24" spans="1:20" s="175" customFormat="1" ht="62.25" customHeight="1" x14ac:dyDescent="0.25">
      <c r="A24" s="184" t="s">
        <v>180</v>
      </c>
      <c r="B24" s="184"/>
      <c r="C24" s="178"/>
      <c r="D24" s="178"/>
      <c r="E24" s="178"/>
      <c r="F24" s="177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80"/>
    </row>
    <row r="25" spans="1:20" x14ac:dyDescent="0.25">
      <c r="A25" s="24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20"/>
    </row>
    <row r="26" spans="1:20" x14ac:dyDescent="0.25">
      <c r="A26" s="18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20"/>
    </row>
    <row r="27" spans="1:20" x14ac:dyDescent="0.25">
      <c r="A27" s="18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0"/>
    </row>
    <row r="28" spans="1:20" x14ac:dyDescent="0.25">
      <c r="A28" s="18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</row>
    <row r="29" spans="1:20" x14ac:dyDescent="0.25">
      <c r="A29" s="18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20"/>
    </row>
    <row r="30" spans="1:20" s="28" customFormat="1" x14ac:dyDescent="0.25">
      <c r="A30" s="26"/>
      <c r="B30" s="26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7"/>
    </row>
    <row r="31" spans="1:20" x14ac:dyDescent="0.25">
      <c r="A31" s="18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</row>
    <row r="32" spans="1:20" x14ac:dyDescent="0.25">
      <c r="A32" s="18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20"/>
    </row>
    <row r="33" spans="1:20" x14ac:dyDescent="0.25">
      <c r="A33" s="18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</row>
    <row r="34" spans="1:20" x14ac:dyDescent="0.25">
      <c r="A34" s="18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20"/>
    </row>
    <row r="35" spans="1:20" x14ac:dyDescent="0.25">
      <c r="A35" s="18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0"/>
    </row>
    <row r="36" spans="1:20" x14ac:dyDescent="0.25">
      <c r="A36" s="18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0"/>
    </row>
    <row r="37" spans="1:20" x14ac:dyDescent="0.25">
      <c r="A37" s="18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20"/>
    </row>
    <row r="38" spans="1:20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20"/>
    </row>
    <row r="39" spans="1:20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0"/>
    </row>
    <row r="40" spans="1:20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0"/>
    </row>
    <row r="41" spans="1:20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20"/>
    </row>
    <row r="42" spans="1:20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20"/>
    </row>
    <row r="43" spans="1:20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0"/>
    </row>
    <row r="44" spans="1:20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0"/>
    </row>
    <row r="45" spans="1:20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</row>
    <row r="46" spans="1:20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20"/>
    </row>
    <row r="47" spans="1:20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20"/>
    </row>
    <row r="48" spans="1:20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20"/>
    </row>
    <row r="49" spans="1:20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0"/>
    </row>
    <row r="50" spans="1:20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20"/>
    </row>
    <row r="51" spans="1:20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20"/>
    </row>
    <row r="52" spans="1:20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20"/>
    </row>
    <row r="53" spans="1:20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0"/>
    </row>
    <row r="54" spans="1:20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20"/>
    </row>
    <row r="55" spans="1:20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  <row r="56" spans="1:20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20"/>
    </row>
    <row r="57" spans="1:20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20"/>
    </row>
    <row r="58" spans="1:20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20"/>
    </row>
    <row r="59" spans="1:20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20"/>
    </row>
    <row r="60" spans="1:20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20"/>
    </row>
    <row r="61" spans="1:20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20"/>
    </row>
    <row r="62" spans="1:20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20"/>
    </row>
    <row r="63" spans="1:20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20"/>
    </row>
    <row r="64" spans="1:20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20"/>
    </row>
    <row r="65" spans="1:20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20"/>
    </row>
    <row r="66" spans="1:20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20"/>
    </row>
    <row r="67" spans="1:20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20"/>
    </row>
    <row r="68" spans="1:20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20"/>
    </row>
    <row r="69" spans="1:20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20"/>
    </row>
    <row r="70" spans="1:20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20"/>
    </row>
    <row r="71" spans="1:20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20"/>
    </row>
    <row r="72" spans="1:20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20"/>
    </row>
    <row r="73" spans="1:20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20"/>
    </row>
    <row r="74" spans="1:20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20"/>
    </row>
    <row r="75" spans="1:20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20"/>
    </row>
    <row r="76" spans="1:20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20"/>
    </row>
    <row r="77" spans="1:20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20"/>
    </row>
    <row r="78" spans="1:20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20"/>
    </row>
    <row r="79" spans="1:20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20"/>
    </row>
    <row r="80" spans="1:20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20"/>
    </row>
    <row r="81" spans="1:20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20"/>
    </row>
    <row r="82" spans="1:20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20"/>
    </row>
    <row r="83" spans="1:20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20"/>
    </row>
    <row r="84" spans="1:20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20"/>
    </row>
    <row r="85" spans="1:20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20"/>
    </row>
    <row r="86" spans="1:20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20"/>
    </row>
    <row r="87" spans="1:20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</row>
    <row r="88" spans="1:20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20"/>
    </row>
    <row r="89" spans="1:20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</row>
    <row r="90" spans="1:20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</row>
    <row r="91" spans="1:20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</row>
    <row r="92" spans="1:20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</row>
    <row r="93" spans="1:20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</row>
    <row r="94" spans="1:20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</row>
    <row r="95" spans="1:20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</row>
    <row r="96" spans="1:20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</row>
    <row r="97" spans="1:20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20"/>
    </row>
    <row r="98" spans="1:20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20"/>
    </row>
    <row r="99" spans="1:20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20"/>
    </row>
    <row r="100" spans="1:20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20"/>
    </row>
    <row r="101" spans="1:20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20"/>
    </row>
    <row r="102" spans="1:20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20"/>
    </row>
    <row r="103" spans="1:20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20"/>
    </row>
    <row r="104" spans="1:20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20"/>
    </row>
    <row r="105" spans="1:20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20"/>
    </row>
    <row r="106" spans="1:20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20"/>
    </row>
    <row r="107" spans="1:20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20"/>
    </row>
    <row r="108" spans="1:20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20"/>
    </row>
    <row r="109" spans="1:20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20"/>
    </row>
    <row r="110" spans="1:20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20"/>
    </row>
    <row r="111" spans="1:20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20"/>
    </row>
    <row r="112" spans="1:20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20"/>
    </row>
    <row r="113" spans="1:20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20"/>
    </row>
    <row r="114" spans="1:20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20"/>
    </row>
    <row r="115" spans="1:20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20"/>
    </row>
    <row r="116" spans="1:20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20"/>
    </row>
    <row r="117" spans="1:20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20"/>
    </row>
    <row r="118" spans="1:20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20"/>
    </row>
    <row r="119" spans="1:20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20"/>
    </row>
    <row r="120" spans="1:20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20"/>
    </row>
    <row r="121" spans="1:20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20"/>
    </row>
    <row r="122" spans="1:20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20"/>
    </row>
    <row r="123" spans="1:20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20"/>
    </row>
    <row r="124" spans="1:20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20"/>
    </row>
    <row r="125" spans="1:20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20"/>
    </row>
    <row r="126" spans="1:20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20"/>
    </row>
    <row r="127" spans="1:20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20"/>
    </row>
    <row r="128" spans="1:20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20"/>
    </row>
    <row r="129" spans="1:20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20"/>
    </row>
    <row r="130" spans="1:20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20"/>
    </row>
    <row r="131" spans="1:20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20"/>
    </row>
    <row r="132" spans="1:20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20"/>
    </row>
    <row r="133" spans="1:20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20"/>
    </row>
    <row r="134" spans="1:20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20"/>
    </row>
    <row r="135" spans="1:20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20"/>
    </row>
    <row r="136" spans="1:20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20"/>
    </row>
    <row r="137" spans="1:20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20"/>
    </row>
    <row r="138" spans="1:20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20"/>
    </row>
    <row r="139" spans="1:20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20"/>
    </row>
    <row r="140" spans="1:20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20"/>
    </row>
    <row r="141" spans="1:20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20"/>
    </row>
    <row r="142" spans="1:20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20"/>
    </row>
    <row r="143" spans="1:20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20"/>
    </row>
    <row r="144" spans="1:20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20"/>
    </row>
    <row r="145" spans="1:20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20"/>
    </row>
    <row r="146" spans="1:20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20"/>
    </row>
    <row r="147" spans="1:20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20"/>
    </row>
    <row r="148" spans="1:20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20"/>
    </row>
    <row r="149" spans="1:20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20"/>
    </row>
    <row r="150" spans="1:20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20"/>
    </row>
    <row r="151" spans="1:20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20"/>
    </row>
    <row r="152" spans="1:20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20"/>
    </row>
    <row r="153" spans="1:20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20"/>
    </row>
    <row r="154" spans="1:20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20"/>
    </row>
    <row r="155" spans="1:20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20"/>
    </row>
    <row r="156" spans="1:20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20"/>
    </row>
    <row r="157" spans="1:20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20"/>
    </row>
    <row r="158" spans="1:20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20"/>
    </row>
    <row r="159" spans="1:20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20"/>
    </row>
    <row r="160" spans="1:20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20"/>
    </row>
    <row r="161" spans="1:20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20"/>
    </row>
    <row r="162" spans="1:20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20"/>
    </row>
    <row r="163" spans="1:20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20"/>
    </row>
    <row r="164" spans="1:20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20"/>
    </row>
    <row r="165" spans="1:20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20"/>
    </row>
    <row r="166" spans="1:20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20"/>
    </row>
    <row r="167" spans="1:20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20"/>
    </row>
    <row r="168" spans="1:20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20"/>
    </row>
    <row r="169" spans="1:20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20"/>
    </row>
    <row r="170" spans="1:20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20"/>
    </row>
    <row r="171" spans="1:20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20"/>
    </row>
    <row r="172" spans="1:20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20"/>
    </row>
    <row r="173" spans="1:20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20"/>
    </row>
    <row r="174" spans="1:20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20"/>
    </row>
    <row r="175" spans="1:20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20"/>
    </row>
    <row r="176" spans="1:20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20"/>
    </row>
    <row r="177" spans="1:20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20"/>
    </row>
    <row r="178" spans="1:20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20"/>
    </row>
    <row r="179" spans="1:20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20"/>
    </row>
    <row r="180" spans="1:20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20"/>
    </row>
    <row r="181" spans="1:20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20"/>
    </row>
    <row r="182" spans="1:20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20"/>
    </row>
    <row r="183" spans="1:20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20"/>
    </row>
    <row r="184" spans="1:20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20"/>
    </row>
    <row r="185" spans="1:20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20"/>
    </row>
    <row r="186" spans="1:20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20"/>
    </row>
    <row r="187" spans="1:20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20"/>
    </row>
    <row r="188" spans="1:20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20"/>
    </row>
    <row r="189" spans="1:20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20"/>
    </row>
    <row r="190" spans="1:20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20"/>
    </row>
    <row r="191" spans="1:20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20"/>
    </row>
    <row r="192" spans="1:20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20"/>
    </row>
    <row r="193" spans="1:20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20"/>
    </row>
    <row r="194" spans="1:20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20"/>
    </row>
    <row r="195" spans="1:20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20"/>
    </row>
    <row r="196" spans="1:20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20"/>
    </row>
    <row r="197" spans="1:20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20"/>
    </row>
    <row r="198" spans="1:20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20"/>
    </row>
    <row r="199" spans="1:20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20"/>
    </row>
    <row r="200" spans="1:20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20"/>
    </row>
    <row r="201" spans="1:20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20"/>
    </row>
    <row r="202" spans="1:20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20"/>
    </row>
    <row r="203" spans="1:20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20"/>
    </row>
    <row r="204" spans="1:20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20"/>
    </row>
    <row r="205" spans="1:20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20"/>
    </row>
    <row r="206" spans="1:20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20"/>
    </row>
    <row r="207" spans="1:20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20"/>
    </row>
    <row r="208" spans="1:20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20"/>
    </row>
    <row r="209" spans="1:20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20"/>
    </row>
    <row r="210" spans="1:20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20"/>
    </row>
    <row r="211" spans="1:20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20"/>
    </row>
    <row r="212" spans="1:20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20"/>
    </row>
    <row r="213" spans="1:20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20"/>
    </row>
    <row r="214" spans="1:20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20"/>
    </row>
    <row r="215" spans="1:20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20"/>
    </row>
    <row r="216" spans="1:20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20"/>
    </row>
    <row r="217" spans="1:20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20"/>
    </row>
    <row r="218" spans="1:20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20"/>
    </row>
    <row r="219" spans="1:20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20"/>
    </row>
    <row r="220" spans="1:20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20"/>
    </row>
    <row r="221" spans="1:20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20"/>
    </row>
    <row r="222" spans="1:20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20"/>
    </row>
    <row r="223" spans="1:20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20"/>
    </row>
    <row r="224" spans="1:20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20"/>
    </row>
    <row r="225" spans="1:20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20"/>
    </row>
    <row r="226" spans="1:20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20"/>
    </row>
    <row r="227" spans="1:20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20"/>
    </row>
    <row r="228" spans="1:20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20"/>
    </row>
    <row r="229" spans="1:20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20"/>
    </row>
    <row r="230" spans="1:20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20"/>
    </row>
    <row r="231" spans="1:20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20"/>
    </row>
    <row r="232" spans="1:20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20"/>
    </row>
    <row r="233" spans="1:20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20"/>
    </row>
    <row r="234" spans="1:20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20"/>
    </row>
    <row r="235" spans="1:20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20"/>
    </row>
    <row r="236" spans="1:20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20"/>
    </row>
    <row r="237" spans="1:20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20"/>
    </row>
    <row r="238" spans="1:20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20"/>
    </row>
    <row r="239" spans="1:20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20"/>
    </row>
    <row r="240" spans="1:20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20"/>
    </row>
    <row r="241" spans="1:2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20"/>
    </row>
    <row r="242" spans="1:20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20"/>
    </row>
    <row r="243" spans="1:20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20"/>
    </row>
    <row r="244" spans="1:20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20"/>
    </row>
    <row r="245" spans="1:20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20"/>
    </row>
    <row r="246" spans="1:20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20"/>
    </row>
    <row r="247" spans="1:20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20"/>
    </row>
    <row r="248" spans="1:20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20"/>
    </row>
    <row r="249" spans="1:20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20"/>
    </row>
    <row r="250" spans="1:20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20"/>
    </row>
    <row r="251" spans="1:20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20"/>
    </row>
    <row r="252" spans="1:20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20"/>
    </row>
    <row r="253" spans="1:20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20"/>
    </row>
    <row r="254" spans="1:20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20"/>
    </row>
    <row r="255" spans="1:20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20"/>
    </row>
    <row r="256" spans="1:20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20"/>
    </row>
    <row r="257" spans="1:20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20"/>
    </row>
    <row r="258" spans="1:20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20"/>
    </row>
    <row r="259" spans="1:20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20"/>
    </row>
    <row r="260" spans="1:20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20"/>
    </row>
    <row r="261" spans="1:20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20"/>
    </row>
    <row r="262" spans="1:20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20"/>
    </row>
    <row r="263" spans="1:20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20"/>
    </row>
    <row r="264" spans="1:20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20"/>
    </row>
    <row r="265" spans="1:20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20"/>
    </row>
    <row r="266" spans="1:20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20"/>
    </row>
    <row r="267" spans="1:20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20"/>
    </row>
    <row r="268" spans="1:20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20"/>
    </row>
    <row r="269" spans="1:20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20"/>
    </row>
    <row r="270" spans="1:20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20"/>
    </row>
    <row r="271" spans="1:20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20"/>
    </row>
    <row r="272" spans="1:20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20"/>
    </row>
    <row r="273" spans="1:20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20"/>
    </row>
    <row r="274" spans="1:20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20"/>
    </row>
    <row r="275" spans="1:20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20"/>
    </row>
    <row r="276" spans="1:20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20"/>
    </row>
    <row r="277" spans="1:20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20"/>
    </row>
    <row r="278" spans="1:20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20"/>
    </row>
    <row r="279" spans="1:20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20"/>
    </row>
    <row r="280" spans="1:20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20"/>
    </row>
    <row r="281" spans="1:20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20"/>
    </row>
    <row r="282" spans="1:20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20"/>
    </row>
    <row r="283" spans="1:20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20"/>
    </row>
    <row r="284" spans="1:20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20"/>
    </row>
    <row r="285" spans="1:20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20"/>
    </row>
    <row r="286" spans="1:20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20"/>
    </row>
    <row r="287" spans="1:20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20"/>
    </row>
    <row r="288" spans="1:20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20"/>
    </row>
    <row r="289" spans="1:20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20"/>
    </row>
    <row r="290" spans="1:20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20"/>
    </row>
    <row r="291" spans="1:20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20"/>
    </row>
    <row r="292" spans="1:20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20"/>
    </row>
    <row r="293" spans="1:20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20"/>
    </row>
    <row r="294" spans="1:20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20"/>
    </row>
    <row r="295" spans="1:20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20"/>
    </row>
    <row r="296" spans="1:20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20"/>
    </row>
    <row r="297" spans="1:20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20"/>
    </row>
    <row r="298" spans="1:20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20"/>
    </row>
    <row r="299" spans="1:20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20"/>
    </row>
    <row r="300" spans="1:20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20"/>
    </row>
    <row r="301" spans="1:20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20"/>
    </row>
    <row r="302" spans="1:20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20"/>
    </row>
    <row r="303" spans="1:20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20"/>
    </row>
    <row r="304" spans="1:20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20"/>
    </row>
    <row r="305" spans="1:20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20"/>
    </row>
    <row r="306" spans="1:20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20"/>
    </row>
    <row r="307" spans="1:20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20"/>
    </row>
    <row r="308" spans="1:20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20"/>
    </row>
    <row r="309" spans="1:20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20"/>
    </row>
    <row r="310" spans="1:20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20"/>
    </row>
    <row r="311" spans="1:20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20"/>
    </row>
    <row r="312" spans="1:20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20"/>
    </row>
    <row r="313" spans="1:20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20"/>
    </row>
    <row r="314" spans="1:20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20"/>
    </row>
    <row r="315" spans="1:20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20"/>
    </row>
    <row r="316" spans="1:20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20"/>
    </row>
    <row r="317" spans="1:20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20"/>
    </row>
    <row r="318" spans="1:20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20"/>
    </row>
    <row r="319" spans="1:20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20"/>
    </row>
    <row r="320" spans="1:20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20"/>
    </row>
    <row r="321" spans="1:20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20"/>
    </row>
    <row r="322" spans="1:20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20"/>
    </row>
    <row r="323" spans="1:20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20"/>
    </row>
    <row r="324" spans="1:20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20"/>
    </row>
    <row r="325" spans="1:20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20"/>
    </row>
    <row r="326" spans="1:20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20"/>
    </row>
    <row r="327" spans="1:20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20"/>
    </row>
    <row r="328" spans="1:20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20"/>
    </row>
    <row r="329" spans="1:20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20"/>
    </row>
    <row r="330" spans="1:20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20"/>
    </row>
    <row r="331" spans="1:20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20"/>
    </row>
    <row r="332" spans="1:20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20"/>
    </row>
    <row r="333" spans="1:20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20"/>
    </row>
    <row r="334" spans="1:20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20"/>
    </row>
    <row r="335" spans="1:20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20"/>
    </row>
    <row r="336" spans="1:20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20"/>
    </row>
    <row r="337" spans="1:20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20"/>
    </row>
    <row r="338" spans="1:20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20"/>
    </row>
    <row r="339" spans="1:20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20"/>
    </row>
    <row r="340" spans="1:20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20"/>
    </row>
    <row r="341" spans="1:20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20"/>
    </row>
    <row r="342" spans="1:20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20"/>
    </row>
    <row r="343" spans="1:20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20"/>
    </row>
    <row r="344" spans="1:20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20"/>
    </row>
    <row r="345" spans="1:20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20"/>
    </row>
    <row r="346" spans="1:20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20"/>
    </row>
    <row r="347" spans="1:20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20"/>
    </row>
    <row r="348" spans="1:20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20"/>
    </row>
    <row r="349" spans="1:20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20"/>
    </row>
    <row r="350" spans="1:20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20"/>
    </row>
    <row r="351" spans="1:20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20"/>
    </row>
    <row r="352" spans="1:20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20"/>
    </row>
    <row r="353" spans="1:20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20"/>
    </row>
    <row r="354" spans="1:20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20"/>
    </row>
    <row r="355" spans="1:20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20"/>
    </row>
    <row r="356" spans="1:20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20"/>
    </row>
    <row r="357" spans="1:20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20"/>
    </row>
    <row r="358" spans="1:20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20"/>
    </row>
    <row r="359" spans="1:20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20"/>
    </row>
    <row r="360" spans="1:20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20"/>
    </row>
    <row r="361" spans="1:20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20"/>
    </row>
    <row r="362" spans="1:20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20"/>
    </row>
    <row r="363" spans="1:20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20"/>
    </row>
    <row r="364" spans="1:20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20"/>
    </row>
    <row r="365" spans="1:20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20"/>
    </row>
    <row r="366" spans="1:20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20"/>
    </row>
    <row r="367" spans="1:20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20"/>
    </row>
    <row r="368" spans="1:20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20"/>
    </row>
    <row r="369" spans="1:20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20"/>
    </row>
    <row r="370" spans="1:20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20"/>
    </row>
    <row r="371" spans="1:20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20"/>
    </row>
    <row r="372" spans="1:20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20"/>
    </row>
    <row r="373" spans="1:20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20"/>
    </row>
    <row r="374" spans="1:20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20"/>
    </row>
    <row r="375" spans="1:20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20"/>
    </row>
    <row r="376" spans="1:20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20"/>
    </row>
    <row r="377" spans="1:20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20"/>
    </row>
    <row r="378" spans="1:20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20"/>
    </row>
    <row r="379" spans="1:20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20"/>
    </row>
    <row r="380" spans="1:20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20"/>
    </row>
    <row r="381" spans="1:20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20"/>
    </row>
    <row r="382" spans="1:20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20"/>
    </row>
    <row r="383" spans="1:20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20"/>
    </row>
    <row r="384" spans="1:20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20"/>
    </row>
    <row r="385" spans="1:20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20"/>
    </row>
    <row r="386" spans="1:20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20"/>
    </row>
    <row r="387" spans="1:20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20"/>
    </row>
    <row r="388" spans="1:20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20"/>
    </row>
    <row r="389" spans="1:20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20"/>
    </row>
    <row r="390" spans="1:20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20"/>
    </row>
    <row r="391" spans="1:20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20"/>
    </row>
    <row r="392" spans="1:20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20"/>
    </row>
    <row r="393" spans="1:20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20"/>
    </row>
    <row r="394" spans="1:20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20"/>
    </row>
    <row r="395" spans="1:20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20"/>
    </row>
    <row r="396" spans="1:20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20"/>
    </row>
    <row r="397" spans="1:20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20"/>
    </row>
    <row r="398" spans="1:20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20"/>
    </row>
    <row r="399" spans="1:20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20"/>
    </row>
    <row r="400" spans="1:20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20"/>
    </row>
    <row r="401" spans="1:20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20"/>
    </row>
    <row r="402" spans="1:20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20"/>
    </row>
    <row r="403" spans="1:20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20"/>
    </row>
    <row r="404" spans="1:20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20"/>
    </row>
    <row r="405" spans="1:20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20"/>
    </row>
    <row r="406" spans="1:20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20"/>
    </row>
    <row r="407" spans="1:20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20"/>
    </row>
    <row r="408" spans="1:20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20"/>
    </row>
    <row r="409" spans="1:20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20"/>
    </row>
    <row r="410" spans="1:20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20"/>
    </row>
    <row r="411" spans="1:20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20"/>
    </row>
    <row r="412" spans="1:20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20"/>
    </row>
    <row r="413" spans="1:20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20"/>
    </row>
    <row r="414" spans="1:20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20"/>
    </row>
    <row r="415" spans="1:20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20"/>
    </row>
    <row r="416" spans="1:20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20"/>
    </row>
    <row r="417" spans="1:20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20"/>
    </row>
    <row r="418" spans="1:20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20"/>
    </row>
    <row r="419" spans="1:20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20"/>
    </row>
    <row r="420" spans="1:20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20"/>
    </row>
    <row r="421" spans="1:20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20"/>
    </row>
    <row r="422" spans="1:20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20"/>
    </row>
    <row r="423" spans="1:20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20"/>
    </row>
    <row r="424" spans="1:20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20"/>
    </row>
    <row r="425" spans="1:20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20"/>
    </row>
    <row r="426" spans="1:20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20"/>
    </row>
    <row r="427" spans="1:20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20"/>
    </row>
    <row r="428" spans="1:20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20"/>
    </row>
    <row r="429" spans="1:20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20"/>
    </row>
    <row r="430" spans="1:20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20"/>
    </row>
    <row r="431" spans="1:20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20"/>
    </row>
    <row r="432" spans="1:20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20"/>
    </row>
    <row r="433" spans="1:20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20"/>
    </row>
    <row r="434" spans="1:20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20"/>
    </row>
    <row r="435" spans="1:20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20"/>
    </row>
    <row r="436" spans="1:20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20"/>
    </row>
    <row r="437" spans="1:20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20"/>
    </row>
    <row r="438" spans="1:20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20"/>
    </row>
    <row r="439" spans="1:20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20"/>
    </row>
    <row r="440" spans="1:20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20"/>
    </row>
    <row r="441" spans="1:20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20"/>
    </row>
    <row r="442" spans="1:20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20"/>
    </row>
    <row r="443" spans="1:20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20"/>
    </row>
    <row r="444" spans="1:20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20"/>
    </row>
    <row r="445" spans="1:20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20"/>
    </row>
    <row r="446" spans="1:20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20"/>
    </row>
    <row r="447" spans="1:20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20"/>
    </row>
    <row r="448" spans="1:20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20"/>
    </row>
    <row r="449" spans="1:20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20"/>
    </row>
    <row r="450" spans="1:20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20"/>
    </row>
    <row r="451" spans="1:20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20"/>
    </row>
    <row r="452" spans="1:20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20"/>
    </row>
    <row r="453" spans="1:20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20"/>
    </row>
    <row r="454" spans="1:20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20"/>
    </row>
    <row r="455" spans="1:20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20"/>
    </row>
    <row r="456" spans="1:20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20"/>
    </row>
    <row r="457" spans="1:20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20"/>
    </row>
    <row r="458" spans="1:20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20"/>
    </row>
    <row r="459" spans="1:20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20"/>
    </row>
    <row r="460" spans="1:20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20"/>
    </row>
    <row r="461" spans="1:20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20"/>
    </row>
    <row r="462" spans="1:20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20"/>
    </row>
    <row r="463" spans="1:20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20"/>
    </row>
    <row r="464" spans="1:20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20"/>
    </row>
    <row r="465" spans="1:20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20"/>
    </row>
    <row r="466" spans="1:20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20"/>
    </row>
    <row r="467" spans="1:20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20"/>
    </row>
    <row r="468" spans="1:20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20"/>
    </row>
    <row r="469" spans="1:20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20"/>
    </row>
    <row r="470" spans="1:20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20"/>
    </row>
    <row r="471" spans="1:20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20"/>
    </row>
    <row r="472" spans="1:20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20"/>
    </row>
    <row r="473" spans="1:20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20"/>
    </row>
    <row r="474" spans="1:20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20"/>
    </row>
    <row r="475" spans="1:20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20"/>
    </row>
    <row r="476" spans="1:20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20"/>
    </row>
    <row r="477" spans="1:20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20"/>
    </row>
    <row r="478" spans="1:20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20"/>
    </row>
    <row r="479" spans="1:20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20"/>
    </row>
    <row r="480" spans="1:20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20"/>
    </row>
    <row r="481" spans="1:20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20"/>
    </row>
    <row r="482" spans="1:20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20"/>
    </row>
    <row r="483" spans="1:20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20"/>
    </row>
    <row r="484" spans="1:20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20"/>
    </row>
    <row r="485" spans="1:20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20"/>
    </row>
    <row r="486" spans="1:20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20"/>
    </row>
    <row r="487" spans="1:20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20"/>
    </row>
    <row r="488" spans="1:20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20"/>
    </row>
    <row r="489" spans="1:20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20"/>
    </row>
    <row r="490" spans="1:20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20"/>
    </row>
    <row r="491" spans="1:20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20"/>
    </row>
    <row r="492" spans="1:20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20"/>
    </row>
    <row r="493" spans="1:20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20"/>
    </row>
    <row r="494" spans="1:20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20"/>
    </row>
    <row r="495" spans="1:20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20"/>
    </row>
    <row r="496" spans="1:20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20"/>
    </row>
    <row r="497" spans="1:20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20"/>
    </row>
    <row r="498" spans="1:20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20"/>
    </row>
    <row r="499" spans="1:20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20"/>
    </row>
    <row r="500" spans="1:20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20"/>
    </row>
    <row r="501" spans="1:20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20"/>
    </row>
    <row r="502" spans="1:20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20"/>
    </row>
    <row r="503" spans="1:20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20"/>
    </row>
    <row r="504" spans="1:20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20"/>
    </row>
    <row r="505" spans="1:20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20"/>
    </row>
    <row r="506" spans="1:20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20"/>
    </row>
    <row r="507" spans="1:20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20"/>
    </row>
    <row r="508" spans="1:20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20"/>
    </row>
    <row r="509" spans="1:20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20"/>
    </row>
    <row r="510" spans="1:20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20"/>
    </row>
    <row r="511" spans="1:20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20"/>
    </row>
    <row r="512" spans="1:20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20"/>
    </row>
    <row r="513" spans="1:20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20"/>
    </row>
    <row r="514" spans="1:20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20"/>
    </row>
    <row r="515" spans="1:20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20"/>
    </row>
    <row r="516" spans="1:20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20"/>
    </row>
    <row r="517" spans="1:20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20"/>
    </row>
    <row r="518" spans="1:20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20"/>
    </row>
    <row r="519" spans="1:20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20"/>
    </row>
    <row r="520" spans="1:20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20"/>
    </row>
    <row r="521" spans="1:20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20"/>
    </row>
    <row r="522" spans="1:20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20"/>
    </row>
    <row r="523" spans="1:20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20"/>
    </row>
    <row r="524" spans="1:20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20"/>
    </row>
    <row r="525" spans="1:20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20"/>
    </row>
    <row r="526" spans="1:20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20"/>
    </row>
    <row r="527" spans="1:20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20"/>
    </row>
    <row r="528" spans="1:20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20"/>
    </row>
    <row r="529" spans="1:20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20"/>
    </row>
    <row r="530" spans="1:20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20"/>
    </row>
    <row r="531" spans="1:20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20"/>
    </row>
    <row r="532" spans="1:20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20"/>
    </row>
    <row r="533" spans="1:20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20"/>
    </row>
    <row r="534" spans="1:20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20"/>
    </row>
    <row r="535" spans="1:20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20"/>
    </row>
    <row r="536" spans="1:20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20"/>
    </row>
    <row r="537" spans="1:20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20"/>
    </row>
    <row r="538" spans="1:20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20"/>
    </row>
    <row r="539" spans="1:20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20"/>
    </row>
    <row r="540" spans="1:20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20"/>
    </row>
    <row r="541" spans="1:20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20"/>
    </row>
    <row r="542" spans="1:20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20"/>
    </row>
    <row r="543" spans="1:20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20"/>
    </row>
    <row r="544" spans="1:20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20"/>
    </row>
    <row r="545" spans="1:20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20"/>
    </row>
    <row r="546" spans="1:20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20"/>
    </row>
    <row r="547" spans="1:20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20"/>
    </row>
    <row r="548" spans="1:20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20"/>
    </row>
    <row r="549" spans="1:20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20"/>
    </row>
    <row r="550" spans="1:20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20"/>
    </row>
    <row r="551" spans="1:20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20"/>
    </row>
    <row r="552" spans="1:20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20"/>
    </row>
    <row r="553" spans="1:20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20"/>
    </row>
    <row r="554" spans="1:20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20"/>
    </row>
    <row r="555" spans="1:20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20"/>
    </row>
    <row r="556" spans="1:20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20"/>
    </row>
    <row r="557" spans="1:20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20"/>
    </row>
    <row r="558" spans="1:20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20"/>
    </row>
    <row r="559" spans="1:20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20"/>
    </row>
    <row r="560" spans="1:20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20"/>
    </row>
    <row r="561" spans="1:20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20"/>
    </row>
    <row r="562" spans="1:20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20"/>
    </row>
    <row r="563" spans="1:20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20"/>
    </row>
    <row r="564" spans="1:20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20"/>
    </row>
    <row r="565" spans="1:20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20"/>
    </row>
    <row r="566" spans="1:20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20"/>
    </row>
    <row r="567" spans="1:20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20"/>
    </row>
    <row r="568" spans="1:20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20"/>
    </row>
    <row r="569" spans="1:20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20"/>
    </row>
    <row r="570" spans="1:20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20"/>
    </row>
    <row r="571" spans="1:20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20"/>
    </row>
    <row r="572" spans="1:20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20"/>
    </row>
    <row r="573" spans="1:20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20"/>
    </row>
    <row r="574" spans="1:20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20"/>
    </row>
    <row r="575" spans="1:20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20"/>
    </row>
    <row r="576" spans="1:20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20"/>
    </row>
    <row r="577" spans="1:20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20"/>
    </row>
    <row r="578" spans="1:20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20"/>
    </row>
    <row r="579" spans="1:20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20"/>
    </row>
    <row r="580" spans="1:20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20"/>
    </row>
    <row r="581" spans="1:20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20"/>
    </row>
    <row r="582" spans="1:20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20"/>
    </row>
    <row r="583" spans="1:20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20"/>
    </row>
    <row r="584" spans="1:20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20"/>
    </row>
    <row r="585" spans="1:20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20"/>
    </row>
    <row r="586" spans="1:20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20"/>
    </row>
    <row r="587" spans="1:20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20"/>
    </row>
    <row r="588" spans="1:20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20"/>
    </row>
    <row r="589" spans="1:20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20"/>
    </row>
    <row r="590" spans="1:20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20"/>
    </row>
    <row r="591" spans="1:20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20"/>
    </row>
    <row r="592" spans="1:20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20"/>
    </row>
    <row r="593" spans="1:20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20"/>
    </row>
    <row r="594" spans="1:20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20"/>
    </row>
    <row r="595" spans="1:20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20"/>
    </row>
    <row r="596" spans="1:20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20"/>
    </row>
    <row r="597" spans="1:20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20"/>
    </row>
    <row r="598" spans="1:20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20"/>
    </row>
    <row r="599" spans="1:20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20"/>
    </row>
    <row r="600" spans="1:20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20"/>
    </row>
    <row r="601" spans="1:20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20"/>
    </row>
    <row r="602" spans="1:20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20"/>
    </row>
    <row r="603" spans="1:20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20"/>
    </row>
    <row r="604" spans="1:20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20"/>
    </row>
    <row r="605" spans="1:20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20"/>
    </row>
    <row r="606" spans="1:20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20"/>
    </row>
    <row r="607" spans="1:20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20"/>
    </row>
    <row r="608" spans="1:20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20"/>
    </row>
    <row r="609" spans="1:20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20"/>
    </row>
    <row r="610" spans="1:20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20"/>
    </row>
    <row r="611" spans="1:20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20"/>
    </row>
    <row r="612" spans="1:20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20"/>
    </row>
    <row r="613" spans="1:20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20"/>
    </row>
    <row r="614" spans="1:20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20"/>
    </row>
    <row r="615" spans="1:20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20"/>
    </row>
    <row r="616" spans="1:20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20"/>
    </row>
    <row r="617" spans="1:20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20"/>
    </row>
    <row r="618" spans="1:20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20"/>
    </row>
    <row r="619" spans="1:20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20"/>
    </row>
    <row r="620" spans="1:20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20"/>
    </row>
    <row r="621" spans="1:20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20"/>
    </row>
    <row r="622" spans="1:20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20"/>
    </row>
    <row r="623" spans="1:20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20"/>
    </row>
    <row r="624" spans="1:20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20"/>
    </row>
    <row r="625" spans="1:20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20"/>
    </row>
    <row r="626" spans="1:20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20"/>
    </row>
    <row r="627" spans="1:20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20"/>
    </row>
    <row r="628" spans="1:20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20"/>
    </row>
    <row r="629" spans="1:20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20"/>
    </row>
    <row r="630" spans="1:20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20"/>
    </row>
    <row r="631" spans="1:20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20"/>
    </row>
    <row r="632" spans="1:20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20"/>
    </row>
    <row r="633" spans="1:20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20"/>
    </row>
    <row r="634" spans="1:20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20"/>
    </row>
    <row r="635" spans="1:20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20"/>
    </row>
    <row r="636" spans="1:20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20"/>
    </row>
    <row r="637" spans="1:20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20"/>
    </row>
    <row r="638" spans="1:20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20"/>
    </row>
    <row r="639" spans="1:20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20"/>
    </row>
    <row r="640" spans="1:20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20"/>
    </row>
    <row r="641" spans="1:20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20"/>
    </row>
    <row r="642" spans="1:20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20"/>
    </row>
    <row r="643" spans="1:20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20"/>
    </row>
    <row r="644" spans="1:20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20"/>
    </row>
    <row r="645" spans="1:20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20"/>
    </row>
    <row r="646" spans="1:20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20"/>
    </row>
    <row r="647" spans="1:20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20"/>
    </row>
    <row r="648" spans="1:20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20"/>
    </row>
    <row r="649" spans="1:20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20"/>
    </row>
    <row r="650" spans="1:20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20"/>
    </row>
    <row r="651" spans="1:20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20"/>
    </row>
    <row r="652" spans="1:20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20"/>
    </row>
    <row r="653" spans="1:20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20"/>
    </row>
    <row r="654" spans="1:20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20"/>
    </row>
    <row r="655" spans="1:20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20"/>
    </row>
    <row r="656" spans="1:20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20"/>
    </row>
    <row r="657" spans="1:20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20"/>
    </row>
    <row r="658" spans="1:20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20"/>
    </row>
    <row r="659" spans="1:20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20"/>
    </row>
    <row r="660" spans="1:20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20"/>
    </row>
    <row r="661" spans="1:20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20"/>
    </row>
    <row r="662" spans="1:20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20"/>
    </row>
    <row r="663" spans="1:20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20"/>
    </row>
    <row r="664" spans="1:20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20"/>
    </row>
    <row r="665" spans="1:20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20"/>
    </row>
    <row r="666" spans="1:20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20"/>
    </row>
    <row r="667" spans="1:20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20"/>
    </row>
    <row r="668" spans="1:20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20"/>
    </row>
    <row r="669" spans="1:20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20"/>
    </row>
    <row r="670" spans="1:20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20"/>
    </row>
    <row r="671" spans="1:20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20"/>
    </row>
    <row r="672" spans="1:20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20"/>
    </row>
    <row r="673" spans="1:20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20"/>
    </row>
    <row r="674" spans="1:20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20"/>
    </row>
    <row r="675" spans="1:20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20"/>
    </row>
    <row r="676" spans="1:20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20"/>
    </row>
    <row r="677" spans="1:20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20"/>
    </row>
    <row r="678" spans="1:20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20"/>
    </row>
    <row r="679" spans="1:20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20"/>
    </row>
    <row r="680" spans="1:20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20"/>
    </row>
    <row r="681" spans="1:20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20"/>
    </row>
    <row r="682" spans="1:20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20"/>
    </row>
    <row r="683" spans="1:20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20"/>
    </row>
    <row r="684" spans="1:20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20"/>
    </row>
    <row r="685" spans="1:20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20"/>
    </row>
    <row r="686" spans="1:20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20"/>
    </row>
    <row r="687" spans="1:20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20"/>
    </row>
    <row r="688" spans="1:20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20"/>
    </row>
    <row r="689" spans="1:20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20"/>
    </row>
    <row r="690" spans="1:20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20"/>
    </row>
    <row r="691" spans="1:20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20"/>
    </row>
    <row r="692" spans="1:20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20"/>
    </row>
    <row r="693" spans="1:20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20"/>
    </row>
    <row r="694" spans="1:20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20"/>
    </row>
    <row r="695" spans="1:20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20"/>
    </row>
    <row r="696" spans="1:20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20"/>
    </row>
    <row r="697" spans="1:20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20"/>
    </row>
    <row r="698" spans="1:20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20"/>
    </row>
    <row r="699" spans="1:20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20"/>
    </row>
    <row r="700" spans="1:20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20"/>
    </row>
    <row r="701" spans="1:20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20"/>
    </row>
    <row r="702" spans="1:20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20"/>
    </row>
    <row r="703" spans="1:20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20"/>
    </row>
    <row r="704" spans="1:20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20"/>
    </row>
    <row r="705" spans="1:20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20"/>
    </row>
    <row r="706" spans="1:20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20"/>
    </row>
    <row r="707" spans="1:20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20"/>
    </row>
    <row r="708" spans="1:20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20"/>
    </row>
    <row r="709" spans="1:20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20"/>
    </row>
    <row r="710" spans="1:20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20"/>
    </row>
    <row r="711" spans="1:20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20"/>
    </row>
    <row r="712" spans="1:20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20"/>
    </row>
    <row r="713" spans="1:20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20"/>
    </row>
    <row r="714" spans="1:20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20"/>
    </row>
    <row r="715" spans="1:20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20"/>
    </row>
    <row r="716" spans="1:20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20"/>
    </row>
    <row r="717" spans="1:20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20"/>
    </row>
    <row r="718" spans="1:20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20"/>
    </row>
    <row r="719" spans="1:20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20"/>
    </row>
    <row r="720" spans="1:20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20"/>
    </row>
    <row r="721" spans="1:20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20"/>
    </row>
    <row r="722" spans="1:20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20"/>
    </row>
    <row r="723" spans="1:20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20"/>
    </row>
    <row r="724" spans="1:20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20"/>
    </row>
    <row r="725" spans="1:20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20"/>
    </row>
    <row r="726" spans="1:20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20"/>
    </row>
    <row r="727" spans="1:20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20"/>
    </row>
    <row r="728" spans="1:20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20"/>
    </row>
    <row r="729" spans="1:20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20"/>
    </row>
    <row r="730" spans="1:20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20"/>
    </row>
    <row r="731" spans="1:20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20"/>
    </row>
    <row r="732" spans="1:20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20"/>
    </row>
    <row r="733" spans="1:20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20"/>
    </row>
    <row r="734" spans="1:20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20"/>
    </row>
    <row r="735" spans="1:20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20"/>
    </row>
    <row r="736" spans="1:20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20"/>
    </row>
    <row r="737" spans="1:20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20"/>
    </row>
    <row r="738" spans="1:20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20"/>
    </row>
    <row r="739" spans="1:20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20"/>
    </row>
    <row r="740" spans="1:20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20"/>
    </row>
    <row r="741" spans="1:20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20"/>
    </row>
    <row r="742" spans="1:20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20"/>
    </row>
    <row r="743" spans="1:20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20"/>
    </row>
    <row r="744" spans="1:20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20"/>
    </row>
    <row r="745" spans="1:20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20"/>
    </row>
    <row r="746" spans="1:20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20"/>
    </row>
    <row r="747" spans="1:20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20"/>
    </row>
    <row r="748" spans="1:20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20"/>
    </row>
    <row r="749" spans="1:20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20"/>
    </row>
    <row r="750" spans="1:20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20"/>
    </row>
    <row r="751" spans="1:20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20"/>
    </row>
    <row r="752" spans="1:20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20"/>
    </row>
    <row r="753" spans="1:20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20"/>
    </row>
    <row r="754" spans="1:20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20"/>
    </row>
    <row r="755" spans="1:20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20"/>
    </row>
    <row r="756" spans="1:20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20"/>
    </row>
    <row r="757" spans="1:20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20"/>
    </row>
    <row r="758" spans="1:20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20"/>
    </row>
    <row r="759" spans="1:20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20"/>
    </row>
    <row r="760" spans="1:20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20"/>
    </row>
    <row r="761" spans="1:20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20"/>
    </row>
    <row r="762" spans="1:20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20"/>
    </row>
    <row r="763" spans="1:20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20"/>
    </row>
    <row r="764" spans="1:20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20"/>
    </row>
    <row r="765" spans="1:20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20"/>
    </row>
    <row r="766" spans="1:20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20"/>
    </row>
    <row r="767" spans="1:20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20"/>
    </row>
    <row r="768" spans="1:20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20"/>
    </row>
    <row r="769" spans="1:20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20"/>
    </row>
    <row r="770" spans="1:20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20"/>
    </row>
    <row r="771" spans="1:20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20"/>
    </row>
    <row r="772" spans="1:20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20"/>
    </row>
    <row r="773" spans="1:20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20"/>
    </row>
    <row r="774" spans="1:20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20"/>
    </row>
    <row r="775" spans="1:20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20"/>
    </row>
    <row r="776" spans="1:20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20"/>
    </row>
    <row r="777" spans="1:20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20"/>
    </row>
    <row r="778" spans="1:20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20"/>
    </row>
    <row r="779" spans="1:20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20"/>
    </row>
    <row r="780" spans="1:20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20"/>
    </row>
    <row r="781" spans="1:20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20"/>
    </row>
    <row r="782" spans="1:20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20"/>
    </row>
    <row r="783" spans="1:20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20"/>
    </row>
    <row r="784" spans="1:20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20"/>
    </row>
    <row r="785" spans="1:20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20"/>
    </row>
    <row r="786" spans="1:20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20"/>
    </row>
    <row r="787" spans="1:20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20"/>
    </row>
    <row r="788" spans="1:20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20"/>
    </row>
    <row r="789" spans="1:20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20"/>
    </row>
    <row r="790" spans="1:20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20"/>
    </row>
    <row r="791" spans="1:20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20"/>
    </row>
    <row r="792" spans="1:20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20"/>
    </row>
    <row r="793" spans="1:20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20"/>
    </row>
    <row r="794" spans="1:20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20"/>
    </row>
    <row r="795" spans="1:20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20"/>
    </row>
    <row r="796" spans="1:20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20"/>
    </row>
    <row r="797" spans="1:20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20"/>
    </row>
    <row r="798" spans="1:20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20"/>
    </row>
    <row r="799" spans="1:20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20"/>
    </row>
    <row r="800" spans="1:20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20"/>
    </row>
    <row r="801" spans="1:20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20"/>
    </row>
    <row r="802" spans="1:20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20"/>
    </row>
    <row r="803" spans="1:20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20"/>
    </row>
    <row r="804" spans="1:20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20"/>
    </row>
    <row r="805" spans="1:20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20"/>
    </row>
    <row r="806" spans="1:20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20"/>
    </row>
    <row r="807" spans="1:20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20"/>
    </row>
    <row r="808" spans="1:20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20"/>
    </row>
    <row r="809" spans="1:20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20"/>
    </row>
    <row r="810" spans="1:20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20"/>
    </row>
    <row r="811" spans="1:20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20"/>
    </row>
    <row r="812" spans="1:20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20"/>
    </row>
    <row r="813" spans="1:20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20"/>
    </row>
    <row r="814" spans="1:20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20"/>
    </row>
    <row r="815" spans="1:20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20"/>
    </row>
    <row r="816" spans="1:20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20"/>
    </row>
    <row r="817" spans="1:20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20"/>
    </row>
    <row r="818" spans="1:20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20"/>
    </row>
    <row r="819" spans="1:20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20"/>
    </row>
    <row r="820" spans="1:20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20"/>
    </row>
    <row r="821" spans="1:20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20"/>
    </row>
    <row r="822" spans="1:20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20"/>
    </row>
    <row r="823" spans="1:20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20"/>
    </row>
    <row r="824" spans="1:20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20"/>
    </row>
    <row r="825" spans="1:20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20"/>
    </row>
    <row r="826" spans="1:20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20"/>
    </row>
    <row r="827" spans="1:20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20"/>
    </row>
    <row r="828" spans="1:20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20"/>
    </row>
    <row r="829" spans="1:20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20"/>
    </row>
    <row r="830" spans="1:20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20"/>
    </row>
    <row r="831" spans="1:20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20"/>
    </row>
    <row r="832" spans="1:20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20"/>
    </row>
    <row r="833" spans="1:20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20"/>
    </row>
    <row r="834" spans="1:20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20"/>
    </row>
    <row r="835" spans="1:20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20"/>
    </row>
    <row r="836" spans="1:20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20"/>
    </row>
    <row r="837" spans="1:20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20"/>
    </row>
    <row r="838" spans="1:20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20"/>
    </row>
    <row r="839" spans="1:20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20"/>
    </row>
    <row r="840" spans="1:20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20"/>
    </row>
    <row r="841" spans="1:20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20"/>
    </row>
    <row r="842" spans="1:20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20"/>
    </row>
    <row r="843" spans="1:20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20"/>
    </row>
    <row r="844" spans="1:20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20"/>
    </row>
    <row r="845" spans="1:20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20"/>
    </row>
    <row r="846" spans="1:20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20"/>
    </row>
    <row r="847" spans="1:20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20"/>
    </row>
    <row r="848" spans="1:20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20"/>
    </row>
    <row r="849" spans="1:20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20"/>
    </row>
    <row r="850" spans="1:20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20"/>
    </row>
    <row r="851" spans="1:20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20"/>
    </row>
    <row r="852" spans="1:20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20"/>
    </row>
    <row r="853" spans="1:20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20"/>
    </row>
    <row r="854" spans="1:20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20"/>
    </row>
    <row r="855" spans="1:20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20"/>
    </row>
    <row r="856" spans="1:20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20"/>
    </row>
    <row r="857" spans="1:20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20"/>
    </row>
    <row r="858" spans="1:20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20"/>
    </row>
    <row r="859" spans="1:20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20"/>
    </row>
    <row r="860" spans="1:20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20"/>
    </row>
    <row r="861" spans="1:20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20"/>
    </row>
    <row r="862" spans="1:20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20"/>
    </row>
    <row r="863" spans="1:20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20"/>
    </row>
    <row r="864" spans="1:20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20"/>
    </row>
    <row r="865" spans="1:20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20"/>
    </row>
    <row r="866" spans="1:20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20"/>
    </row>
    <row r="867" spans="1:20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20"/>
    </row>
    <row r="868" spans="1:20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20"/>
    </row>
    <row r="869" spans="1:20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20"/>
    </row>
    <row r="870" spans="1:20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20"/>
    </row>
    <row r="871" spans="1:20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20"/>
    </row>
    <row r="872" spans="1:20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20"/>
    </row>
    <row r="873" spans="1:20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20"/>
    </row>
    <row r="874" spans="1:20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20"/>
    </row>
    <row r="875" spans="1:20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20"/>
    </row>
    <row r="876" spans="1:20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20"/>
    </row>
    <row r="877" spans="1:20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20"/>
    </row>
    <row r="878" spans="1:20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20"/>
    </row>
    <row r="879" spans="1:20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20"/>
    </row>
    <row r="880" spans="1:20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20"/>
    </row>
    <row r="881" spans="1:20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20"/>
    </row>
    <row r="882" spans="1:20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20"/>
    </row>
    <row r="883" spans="1:20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20"/>
    </row>
    <row r="884" spans="1:20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20"/>
    </row>
    <row r="885" spans="1:20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20"/>
    </row>
    <row r="886" spans="1:20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20"/>
    </row>
    <row r="887" spans="1:20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20"/>
    </row>
    <row r="888" spans="1:20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20"/>
    </row>
    <row r="889" spans="1:20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20"/>
    </row>
    <row r="890" spans="1:20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20"/>
    </row>
    <row r="891" spans="1:20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20"/>
    </row>
    <row r="892" spans="1:20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20"/>
    </row>
    <row r="893" spans="1:20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20"/>
    </row>
    <row r="894" spans="1:20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20"/>
    </row>
    <row r="895" spans="1:20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20"/>
    </row>
    <row r="896" spans="1:20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20"/>
    </row>
    <row r="897" spans="1:20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20"/>
    </row>
    <row r="898" spans="1:20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20"/>
    </row>
    <row r="899" spans="1:20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20"/>
    </row>
    <row r="900" spans="1:20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20"/>
    </row>
    <row r="901" spans="1:20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20"/>
    </row>
    <row r="902" spans="1:20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20"/>
    </row>
    <row r="903" spans="1:20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20"/>
    </row>
    <row r="904" spans="1:20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20"/>
    </row>
    <row r="905" spans="1:20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20"/>
    </row>
    <row r="906" spans="1:20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20"/>
    </row>
    <row r="907" spans="1:20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20"/>
    </row>
    <row r="908" spans="1:20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20"/>
    </row>
    <row r="909" spans="1:20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20"/>
    </row>
    <row r="910" spans="1:20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20"/>
    </row>
    <row r="911" spans="1:20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20"/>
    </row>
    <row r="912" spans="1:20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20"/>
    </row>
    <row r="913" spans="1:20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20"/>
    </row>
    <row r="914" spans="1:20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20"/>
    </row>
    <row r="915" spans="1:20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20"/>
    </row>
    <row r="916" spans="1:20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20"/>
    </row>
    <row r="917" spans="1:20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20"/>
    </row>
    <row r="918" spans="1:20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20"/>
    </row>
    <row r="919" spans="1:20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20"/>
    </row>
    <row r="920" spans="1:20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20"/>
    </row>
    <row r="921" spans="1:20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20"/>
    </row>
    <row r="922" spans="1:20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20"/>
    </row>
    <row r="923" spans="1:20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20"/>
    </row>
    <row r="924" spans="1:20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20"/>
    </row>
    <row r="925" spans="1:20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20"/>
    </row>
    <row r="926" spans="1:20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20"/>
    </row>
    <row r="927" spans="1:20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20"/>
    </row>
    <row r="928" spans="1:20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20"/>
    </row>
    <row r="929" spans="1:20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20"/>
    </row>
    <row r="930" spans="1:20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20"/>
    </row>
    <row r="931" spans="1:20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20"/>
    </row>
    <row r="932" spans="1:20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20"/>
    </row>
    <row r="933" spans="1:20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20"/>
    </row>
    <row r="934" spans="1:20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20"/>
    </row>
    <row r="935" spans="1:20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20"/>
    </row>
    <row r="936" spans="1:20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20"/>
    </row>
    <row r="937" spans="1:20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20"/>
    </row>
    <row r="938" spans="1:20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20"/>
    </row>
    <row r="939" spans="1:20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20"/>
    </row>
    <row r="940" spans="1:20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20"/>
    </row>
    <row r="941" spans="1:20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20"/>
    </row>
    <row r="942" spans="1:20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20"/>
    </row>
    <row r="943" spans="1:20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20"/>
    </row>
    <row r="944" spans="1:20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20"/>
    </row>
    <row r="945" spans="1:20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20"/>
    </row>
    <row r="946" spans="1:20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20"/>
    </row>
    <row r="947" spans="1:20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20"/>
    </row>
    <row r="948" spans="1:20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20"/>
    </row>
    <row r="949" spans="1:20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20"/>
    </row>
    <row r="950" spans="1:20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20"/>
    </row>
    <row r="951" spans="1:20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20"/>
    </row>
    <row r="952" spans="1:20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20"/>
    </row>
    <row r="953" spans="1:20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20"/>
    </row>
    <row r="954" spans="1:20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20"/>
    </row>
    <row r="955" spans="1:20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20"/>
    </row>
    <row r="956" spans="1:20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20"/>
    </row>
    <row r="957" spans="1:20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20"/>
    </row>
    <row r="958" spans="1:20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20"/>
    </row>
    <row r="959" spans="1:20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20"/>
    </row>
    <row r="960" spans="1:20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20"/>
    </row>
    <row r="961" spans="1:20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20"/>
    </row>
    <row r="962" spans="1:20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20"/>
    </row>
    <row r="963" spans="1:20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20"/>
    </row>
    <row r="964" spans="1:20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20"/>
    </row>
    <row r="965" spans="1:20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20"/>
    </row>
    <row r="966" spans="1:20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20"/>
    </row>
    <row r="967" spans="1:20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20"/>
    </row>
    <row r="968" spans="1:20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20"/>
    </row>
    <row r="969" spans="1:20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20"/>
    </row>
    <row r="970" spans="1:20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20"/>
    </row>
    <row r="971" spans="1:20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20"/>
    </row>
    <row r="972" spans="1:20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20"/>
    </row>
    <row r="973" spans="1:20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20"/>
    </row>
    <row r="974" spans="1:20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20"/>
    </row>
    <row r="975" spans="1:20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20"/>
    </row>
    <row r="976" spans="1:20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20"/>
    </row>
    <row r="977" spans="1:20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20"/>
    </row>
    <row r="978" spans="1:20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20"/>
    </row>
    <row r="979" spans="1:20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20"/>
    </row>
    <row r="980" spans="1:20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20"/>
    </row>
    <row r="981" spans="1:20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20"/>
    </row>
    <row r="982" spans="1:20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20"/>
    </row>
    <row r="983" spans="1:20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20"/>
    </row>
    <row r="984" spans="1:20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20"/>
    </row>
    <row r="985" spans="1:20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20"/>
    </row>
    <row r="986" spans="1:20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20"/>
    </row>
    <row r="987" spans="1:20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20"/>
    </row>
    <row r="988" spans="1:20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20"/>
    </row>
    <row r="989" spans="1:20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20"/>
    </row>
    <row r="990" spans="1:20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20"/>
    </row>
    <row r="991" spans="1:20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20"/>
    </row>
    <row r="992" spans="1:20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20"/>
    </row>
    <row r="993" spans="1:20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20"/>
    </row>
    <row r="994" spans="1:20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20"/>
    </row>
    <row r="995" spans="1:20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20"/>
    </row>
    <row r="996" spans="1:20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20"/>
    </row>
    <row r="997" spans="1:20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20"/>
    </row>
    <row r="998" spans="1:20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20"/>
    </row>
    <row r="999" spans="1:20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20"/>
    </row>
    <row r="1000" spans="1:20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20"/>
    </row>
    <row r="1001" spans="1:20" x14ac:dyDescent="0.25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20"/>
    </row>
    <row r="1002" spans="1:20" x14ac:dyDescent="0.25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20"/>
    </row>
    <row r="1003" spans="1:20" x14ac:dyDescent="0.25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20"/>
    </row>
    <row r="1004" spans="1:20" x14ac:dyDescent="0.25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20"/>
    </row>
    <row r="1005" spans="1:20" x14ac:dyDescent="0.25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20"/>
    </row>
    <row r="1006" spans="1:20" x14ac:dyDescent="0.25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20"/>
    </row>
    <row r="1007" spans="1:20" x14ac:dyDescent="0.25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20"/>
    </row>
    <row r="1008" spans="1:20" x14ac:dyDescent="0.25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20"/>
    </row>
    <row r="1009" spans="1:20" x14ac:dyDescent="0.25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20"/>
    </row>
    <row r="1010" spans="1:20" x14ac:dyDescent="0.25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20"/>
    </row>
    <row r="1011" spans="1:20" x14ac:dyDescent="0.25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20"/>
    </row>
    <row r="1012" spans="1:20" x14ac:dyDescent="0.25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20"/>
    </row>
    <row r="1013" spans="1:20" x14ac:dyDescent="0.25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20"/>
    </row>
    <row r="1014" spans="1:20" x14ac:dyDescent="0.25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20"/>
    </row>
    <row r="1015" spans="1:20" x14ac:dyDescent="0.2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3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C7BC-51DA-4346-847C-F15FD9040860}">
  <dimension ref="A1:AM106"/>
  <sheetViews>
    <sheetView topLeftCell="H1" zoomScaleNormal="100" workbookViewId="0">
      <selection activeCell="D12" sqref="D12"/>
    </sheetView>
  </sheetViews>
  <sheetFormatPr defaultRowHeight="15" x14ac:dyDescent="0.25"/>
  <cols>
    <col min="1" max="1" width="33.5703125" bestFit="1" customWidth="1"/>
    <col min="2" max="2" width="22.7109375" customWidth="1"/>
    <col min="3" max="3" width="18.28515625" bestFit="1" customWidth="1"/>
    <col min="5" max="5" width="9.85546875" bestFit="1" customWidth="1"/>
    <col min="6" max="6" width="9.28515625" bestFit="1" customWidth="1"/>
    <col min="7" max="7" width="10.5703125" bestFit="1" customWidth="1"/>
    <col min="8" max="8" width="9.42578125" bestFit="1" customWidth="1"/>
    <col min="9" max="9" width="10.140625" bestFit="1" customWidth="1"/>
  </cols>
  <sheetData>
    <row r="1" spans="1:39" x14ac:dyDescent="0.25">
      <c r="A1" s="9"/>
      <c r="B1" s="201" t="s">
        <v>0</v>
      </c>
      <c r="C1" s="203" t="s">
        <v>1</v>
      </c>
      <c r="D1" s="205" t="s">
        <v>2</v>
      </c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  <c r="P1" s="191" t="s">
        <v>3</v>
      </c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3" t="s">
        <v>4</v>
      </c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5"/>
    </row>
    <row r="2" spans="1:39" x14ac:dyDescent="0.25">
      <c r="A2" s="10"/>
      <c r="B2" s="202"/>
      <c r="C2" s="204"/>
      <c r="D2" s="126" t="s">
        <v>5</v>
      </c>
      <c r="E2" s="126" t="s">
        <v>6</v>
      </c>
      <c r="F2" s="126" t="s">
        <v>7</v>
      </c>
      <c r="G2" s="126" t="s">
        <v>8</v>
      </c>
      <c r="H2" s="126" t="s">
        <v>9</v>
      </c>
      <c r="I2" s="126" t="s">
        <v>10</v>
      </c>
      <c r="J2" s="126" t="s">
        <v>11</v>
      </c>
      <c r="K2" s="126" t="s">
        <v>12</v>
      </c>
      <c r="L2" s="126" t="s">
        <v>13</v>
      </c>
      <c r="M2" s="126" t="s">
        <v>14</v>
      </c>
      <c r="N2" s="126" t="s">
        <v>15</v>
      </c>
      <c r="O2" s="147" t="s">
        <v>16</v>
      </c>
      <c r="P2" s="128" t="s">
        <v>17</v>
      </c>
      <c r="Q2" s="128" t="s">
        <v>18</v>
      </c>
      <c r="R2" s="128" t="s">
        <v>19</v>
      </c>
      <c r="S2" s="128" t="s">
        <v>20</v>
      </c>
      <c r="T2" s="128" t="s">
        <v>21</v>
      </c>
      <c r="U2" s="128" t="s">
        <v>22</v>
      </c>
      <c r="V2" s="128" t="s">
        <v>23</v>
      </c>
      <c r="W2" s="128" t="s">
        <v>24</v>
      </c>
      <c r="X2" s="128" t="s">
        <v>25</v>
      </c>
      <c r="Y2" s="128" t="s">
        <v>26</v>
      </c>
      <c r="Z2" s="129" t="s">
        <v>27</v>
      </c>
      <c r="AA2" s="63" t="s">
        <v>28</v>
      </c>
      <c r="AB2" s="55" t="s">
        <v>29</v>
      </c>
      <c r="AC2" s="55" t="s">
        <v>30</v>
      </c>
      <c r="AD2" s="55" t="s">
        <v>31</v>
      </c>
      <c r="AE2" s="55" t="s">
        <v>32</v>
      </c>
      <c r="AF2" s="55" t="s">
        <v>33</v>
      </c>
      <c r="AG2" s="55" t="s">
        <v>34</v>
      </c>
      <c r="AH2" s="55" t="s">
        <v>35</v>
      </c>
      <c r="AI2" s="55" t="s">
        <v>36</v>
      </c>
      <c r="AJ2" s="55" t="s">
        <v>37</v>
      </c>
      <c r="AK2" s="55" t="s">
        <v>38</v>
      </c>
      <c r="AL2" s="64" t="s">
        <v>39</v>
      </c>
      <c r="AM2" s="64" t="s">
        <v>40</v>
      </c>
    </row>
    <row r="3" spans="1:39" ht="15.6" customHeight="1" x14ac:dyDescent="0.25">
      <c r="A3" s="241" t="s">
        <v>185</v>
      </c>
      <c r="B3" s="87" t="s">
        <v>186</v>
      </c>
      <c r="C3" s="6" t="s">
        <v>226</v>
      </c>
      <c r="D3" s="78"/>
      <c r="E3" s="12"/>
      <c r="F3" s="12"/>
      <c r="G3" s="12"/>
      <c r="H3" s="12"/>
      <c r="I3" s="12"/>
      <c r="J3" s="12"/>
      <c r="K3" s="12"/>
      <c r="L3" s="12"/>
      <c r="M3" s="12"/>
      <c r="N3" s="12"/>
      <c r="O3" s="79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78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79"/>
    </row>
    <row r="4" spans="1:39" ht="18" customHeight="1" x14ac:dyDescent="0.25">
      <c r="A4" s="242"/>
      <c r="B4" s="74" t="s">
        <v>187</v>
      </c>
      <c r="C4" s="6" t="s">
        <v>227</v>
      </c>
      <c r="D4" s="78"/>
      <c r="E4" s="12"/>
      <c r="F4" s="12"/>
      <c r="G4" s="12"/>
      <c r="H4" s="12"/>
      <c r="I4" s="12"/>
      <c r="J4" s="12"/>
      <c r="K4" s="12"/>
      <c r="L4" s="12"/>
      <c r="M4" s="12"/>
      <c r="N4" s="12"/>
      <c r="O4" s="79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78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79"/>
    </row>
    <row r="5" spans="1:39" ht="18" customHeight="1" thickBot="1" x14ac:dyDescent="0.3">
      <c r="A5" s="243"/>
      <c r="B5" s="77" t="s">
        <v>188</v>
      </c>
      <c r="C5" s="6" t="s">
        <v>228</v>
      </c>
      <c r="D5" s="78"/>
      <c r="E5" s="12"/>
      <c r="F5" s="12"/>
      <c r="G5" s="12"/>
      <c r="H5" s="12"/>
      <c r="I5" s="12"/>
      <c r="J5" s="12"/>
      <c r="K5" s="12"/>
      <c r="L5" s="12"/>
      <c r="M5" s="12"/>
      <c r="N5" s="12"/>
      <c r="O5" s="79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78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79"/>
    </row>
    <row r="6" spans="1:39" ht="32.450000000000003" customHeight="1" x14ac:dyDescent="0.25">
      <c r="A6" s="241" t="s">
        <v>189</v>
      </c>
      <c r="B6" s="75" t="s">
        <v>190</v>
      </c>
      <c r="C6" s="6" t="s">
        <v>246</v>
      </c>
      <c r="D6" s="78"/>
      <c r="E6" s="12"/>
      <c r="F6" s="12"/>
      <c r="G6" s="12"/>
      <c r="H6" s="12"/>
      <c r="I6" s="12"/>
      <c r="J6" s="12"/>
      <c r="K6" s="12"/>
      <c r="L6" s="12"/>
      <c r="M6" s="12"/>
      <c r="N6" s="12"/>
      <c r="O6" s="79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78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79"/>
    </row>
    <row r="7" spans="1:39" ht="32.450000000000003" customHeight="1" thickBot="1" x14ac:dyDescent="0.3">
      <c r="A7" s="243"/>
      <c r="B7" s="77" t="s">
        <v>191</v>
      </c>
      <c r="C7" s="6" t="s">
        <v>230</v>
      </c>
      <c r="D7" s="78"/>
      <c r="E7" s="12"/>
      <c r="F7" s="12"/>
      <c r="G7" s="12"/>
      <c r="H7" s="12"/>
      <c r="I7" s="12"/>
      <c r="J7" s="12"/>
      <c r="K7" s="12"/>
      <c r="L7" s="12"/>
      <c r="M7" s="12"/>
      <c r="N7" s="12"/>
      <c r="O7" s="79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78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79"/>
    </row>
    <row r="8" spans="1:39" ht="16.149999999999999" customHeight="1" x14ac:dyDescent="0.25">
      <c r="A8" s="241" t="s">
        <v>192</v>
      </c>
      <c r="B8" s="75" t="s">
        <v>193</v>
      </c>
      <c r="C8" s="6" t="s">
        <v>247</v>
      </c>
      <c r="D8" s="78"/>
      <c r="E8" s="12"/>
      <c r="F8" s="12"/>
      <c r="G8" s="12"/>
      <c r="H8" s="12"/>
      <c r="I8" s="12"/>
      <c r="J8" s="12"/>
      <c r="K8" s="12"/>
      <c r="L8" s="12"/>
      <c r="M8" s="12"/>
      <c r="N8" s="12"/>
      <c r="O8" s="79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78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79"/>
    </row>
    <row r="9" spans="1:39" ht="18" customHeight="1" x14ac:dyDescent="0.25">
      <c r="A9" s="242"/>
      <c r="B9" s="74" t="s">
        <v>194</v>
      </c>
      <c r="C9" s="6" t="s">
        <v>248</v>
      </c>
      <c r="D9" s="78"/>
      <c r="E9" s="12"/>
      <c r="F9" s="12"/>
      <c r="G9" s="12"/>
      <c r="H9" s="12"/>
      <c r="I9" s="12"/>
      <c r="J9" s="12"/>
      <c r="K9" s="12"/>
      <c r="L9" s="12"/>
      <c r="M9" s="12"/>
      <c r="N9" s="12"/>
      <c r="O9" s="79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78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79"/>
    </row>
    <row r="10" spans="1:39" ht="18.600000000000001" customHeight="1" thickBot="1" x14ac:dyDescent="0.3">
      <c r="A10" s="243"/>
      <c r="B10" s="77" t="s">
        <v>195</v>
      </c>
      <c r="C10" s="6" t="e">
        <f>SUM(AB10:AM10)+C9</f>
        <v>#VALUE!</v>
      </c>
      <c r="D10" s="80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80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2"/>
    </row>
    <row r="11" spans="1:39" ht="18.75" x14ac:dyDescent="0.25">
      <c r="A11" s="13"/>
      <c r="B11" s="54"/>
    </row>
    <row r="12" spans="1:39" ht="18.75" x14ac:dyDescent="0.25">
      <c r="A12" s="13"/>
      <c r="B12" s="54"/>
    </row>
    <row r="13" spans="1:39" ht="18.75" x14ac:dyDescent="0.25">
      <c r="A13" s="14"/>
      <c r="B13" s="54"/>
    </row>
    <row r="14" spans="1:39" ht="18.75" x14ac:dyDescent="0.25">
      <c r="A14" s="14"/>
      <c r="B14" s="54"/>
    </row>
    <row r="15" spans="1:39" ht="18.75" x14ac:dyDescent="0.25">
      <c r="A15" s="15"/>
      <c r="B15" s="54"/>
    </row>
    <row r="16" spans="1:39" ht="18.75" x14ac:dyDescent="0.25">
      <c r="A16" s="15"/>
      <c r="B16" s="54"/>
    </row>
    <row r="17" spans="1:2" ht="18.75" x14ac:dyDescent="0.25">
      <c r="A17" s="15"/>
      <c r="B17" s="54"/>
    </row>
    <row r="18" spans="1:2" x14ac:dyDescent="0.25">
      <c r="B18" s="54"/>
    </row>
    <row r="19" spans="1:2" x14ac:dyDescent="0.25">
      <c r="B19" s="54"/>
    </row>
    <row r="20" spans="1:2" x14ac:dyDescent="0.25">
      <c r="B20" s="54"/>
    </row>
    <row r="21" spans="1:2" x14ac:dyDescent="0.25">
      <c r="B21" s="54"/>
    </row>
    <row r="22" spans="1:2" x14ac:dyDescent="0.25">
      <c r="B22" s="54"/>
    </row>
    <row r="23" spans="1:2" x14ac:dyDescent="0.25">
      <c r="B23" s="54"/>
    </row>
    <row r="24" spans="1:2" x14ac:dyDescent="0.25">
      <c r="B24" s="54"/>
    </row>
    <row r="25" spans="1:2" x14ac:dyDescent="0.25">
      <c r="B25" s="54"/>
    </row>
    <row r="26" spans="1:2" x14ac:dyDescent="0.25">
      <c r="B26" s="54"/>
    </row>
    <row r="27" spans="1:2" x14ac:dyDescent="0.25">
      <c r="B27" s="54"/>
    </row>
    <row r="28" spans="1:2" x14ac:dyDescent="0.25">
      <c r="B28" s="54"/>
    </row>
    <row r="29" spans="1:2" x14ac:dyDescent="0.25">
      <c r="B29" s="54"/>
    </row>
    <row r="30" spans="1:2" x14ac:dyDescent="0.25">
      <c r="B30" s="54"/>
    </row>
    <row r="31" spans="1:2" x14ac:dyDescent="0.25">
      <c r="B31" s="54"/>
    </row>
    <row r="32" spans="1:2" x14ac:dyDescent="0.25">
      <c r="B32" s="54"/>
    </row>
    <row r="33" spans="2:2" x14ac:dyDescent="0.25">
      <c r="B33" s="54"/>
    </row>
    <row r="34" spans="2:2" x14ac:dyDescent="0.25">
      <c r="B34" s="54"/>
    </row>
    <row r="35" spans="2:2" x14ac:dyDescent="0.25">
      <c r="B35" s="54"/>
    </row>
    <row r="36" spans="2:2" x14ac:dyDescent="0.25">
      <c r="B36" s="54"/>
    </row>
    <row r="37" spans="2:2" x14ac:dyDescent="0.25">
      <c r="B37" s="54"/>
    </row>
    <row r="38" spans="2:2" x14ac:dyDescent="0.25">
      <c r="B38" s="54"/>
    </row>
    <row r="39" spans="2:2" x14ac:dyDescent="0.25">
      <c r="B39" s="54"/>
    </row>
    <row r="40" spans="2:2" x14ac:dyDescent="0.25">
      <c r="B40" s="54"/>
    </row>
    <row r="41" spans="2:2" x14ac:dyDescent="0.25">
      <c r="B41" s="54"/>
    </row>
    <row r="42" spans="2:2" x14ac:dyDescent="0.25">
      <c r="B42" s="54"/>
    </row>
    <row r="43" spans="2:2" x14ac:dyDescent="0.25">
      <c r="B43" s="54"/>
    </row>
    <row r="44" spans="2:2" x14ac:dyDescent="0.25">
      <c r="B44" s="54"/>
    </row>
    <row r="45" spans="2:2" x14ac:dyDescent="0.25">
      <c r="B45" s="54"/>
    </row>
    <row r="46" spans="2:2" x14ac:dyDescent="0.25">
      <c r="B46" s="54"/>
    </row>
    <row r="47" spans="2:2" x14ac:dyDescent="0.25">
      <c r="B47" s="54"/>
    </row>
    <row r="48" spans="2:2" x14ac:dyDescent="0.25">
      <c r="B48" s="54"/>
    </row>
    <row r="49" spans="2:2" x14ac:dyDescent="0.25">
      <c r="B49" s="54"/>
    </row>
    <row r="50" spans="2:2" x14ac:dyDescent="0.25">
      <c r="B50" s="54"/>
    </row>
    <row r="51" spans="2:2" x14ac:dyDescent="0.25">
      <c r="B51" s="54"/>
    </row>
    <row r="52" spans="2:2" x14ac:dyDescent="0.25">
      <c r="B52" s="54"/>
    </row>
    <row r="53" spans="2:2" x14ac:dyDescent="0.25">
      <c r="B53" s="54"/>
    </row>
    <row r="54" spans="2:2" x14ac:dyDescent="0.25">
      <c r="B54" s="54"/>
    </row>
    <row r="55" spans="2:2" x14ac:dyDescent="0.25">
      <c r="B55" s="54"/>
    </row>
    <row r="56" spans="2:2" x14ac:dyDescent="0.25">
      <c r="B56" s="54"/>
    </row>
    <row r="57" spans="2:2" x14ac:dyDescent="0.25">
      <c r="B57" s="54"/>
    </row>
    <row r="58" spans="2:2" x14ac:dyDescent="0.25">
      <c r="B58" s="54"/>
    </row>
    <row r="59" spans="2:2" x14ac:dyDescent="0.25">
      <c r="B59" s="54"/>
    </row>
    <row r="60" spans="2:2" x14ac:dyDescent="0.25">
      <c r="B60" s="54"/>
    </row>
    <row r="61" spans="2:2" x14ac:dyDescent="0.25">
      <c r="B61" s="54"/>
    </row>
    <row r="62" spans="2:2" x14ac:dyDescent="0.25">
      <c r="B62" s="54"/>
    </row>
    <row r="63" spans="2:2" x14ac:dyDescent="0.25">
      <c r="B63" s="54"/>
    </row>
    <row r="64" spans="2:2" x14ac:dyDescent="0.25">
      <c r="B64" s="54"/>
    </row>
    <row r="65" spans="2:2" x14ac:dyDescent="0.25">
      <c r="B65" s="54"/>
    </row>
    <row r="66" spans="2:2" x14ac:dyDescent="0.25">
      <c r="B66" s="54"/>
    </row>
    <row r="67" spans="2:2" x14ac:dyDescent="0.25">
      <c r="B67" s="54"/>
    </row>
    <row r="68" spans="2:2" x14ac:dyDescent="0.25">
      <c r="B68" s="54"/>
    </row>
    <row r="69" spans="2:2" x14ac:dyDescent="0.25">
      <c r="B69" s="54"/>
    </row>
    <row r="70" spans="2:2" x14ac:dyDescent="0.25">
      <c r="B70" s="54"/>
    </row>
    <row r="71" spans="2:2" x14ac:dyDescent="0.25">
      <c r="B71" s="54"/>
    </row>
    <row r="72" spans="2:2" x14ac:dyDescent="0.25">
      <c r="B72" s="54"/>
    </row>
    <row r="73" spans="2:2" x14ac:dyDescent="0.25">
      <c r="B73" s="54"/>
    </row>
    <row r="74" spans="2:2" x14ac:dyDescent="0.25">
      <c r="B74" s="54"/>
    </row>
    <row r="75" spans="2:2" x14ac:dyDescent="0.25">
      <c r="B75" s="54"/>
    </row>
    <row r="76" spans="2:2" x14ac:dyDescent="0.25">
      <c r="B76" s="54"/>
    </row>
    <row r="77" spans="2:2" x14ac:dyDescent="0.25">
      <c r="B77" s="54"/>
    </row>
    <row r="78" spans="2:2" x14ac:dyDescent="0.25">
      <c r="B78" s="54"/>
    </row>
    <row r="79" spans="2:2" x14ac:dyDescent="0.25">
      <c r="B79" s="54"/>
    </row>
    <row r="80" spans="2:2" x14ac:dyDescent="0.25">
      <c r="B80" s="54"/>
    </row>
    <row r="81" spans="2:2" x14ac:dyDescent="0.25">
      <c r="B81" s="54"/>
    </row>
    <row r="82" spans="2:2" x14ac:dyDescent="0.25">
      <c r="B82" s="54"/>
    </row>
    <row r="83" spans="2:2" x14ac:dyDescent="0.25">
      <c r="B83" s="54"/>
    </row>
    <row r="84" spans="2:2" x14ac:dyDescent="0.25">
      <c r="B84" s="54"/>
    </row>
    <row r="85" spans="2:2" x14ac:dyDescent="0.25">
      <c r="B85" s="54"/>
    </row>
    <row r="86" spans="2:2" x14ac:dyDescent="0.25">
      <c r="B86" s="54"/>
    </row>
    <row r="87" spans="2:2" x14ac:dyDescent="0.25">
      <c r="B87" s="54"/>
    </row>
    <row r="88" spans="2:2" x14ac:dyDescent="0.25">
      <c r="B88" s="54"/>
    </row>
    <row r="89" spans="2:2" x14ac:dyDescent="0.25">
      <c r="B89" s="54"/>
    </row>
    <row r="90" spans="2:2" x14ac:dyDescent="0.25">
      <c r="B90" s="54"/>
    </row>
    <row r="91" spans="2:2" x14ac:dyDescent="0.25">
      <c r="B91" s="54"/>
    </row>
    <row r="92" spans="2:2" x14ac:dyDescent="0.25">
      <c r="B92" s="54"/>
    </row>
    <row r="93" spans="2:2" x14ac:dyDescent="0.25">
      <c r="B93" s="54"/>
    </row>
    <row r="94" spans="2:2" x14ac:dyDescent="0.25">
      <c r="B94" s="54"/>
    </row>
    <row r="95" spans="2:2" x14ac:dyDescent="0.25">
      <c r="B95" s="54"/>
    </row>
    <row r="96" spans="2:2" x14ac:dyDescent="0.25">
      <c r="B96" s="54"/>
    </row>
    <row r="97" spans="2:2" x14ac:dyDescent="0.25">
      <c r="B97" s="54"/>
    </row>
    <row r="98" spans="2:2" x14ac:dyDescent="0.25">
      <c r="B98" s="54"/>
    </row>
    <row r="99" spans="2:2" x14ac:dyDescent="0.25">
      <c r="B99" s="54"/>
    </row>
    <row r="100" spans="2:2" x14ac:dyDescent="0.25">
      <c r="B100" s="54"/>
    </row>
    <row r="101" spans="2:2" x14ac:dyDescent="0.25">
      <c r="B101" s="54"/>
    </row>
    <row r="102" spans="2:2" x14ac:dyDescent="0.25">
      <c r="B102" s="54"/>
    </row>
    <row r="103" spans="2:2" x14ac:dyDescent="0.25">
      <c r="B103" s="54"/>
    </row>
    <row r="104" spans="2:2" x14ac:dyDescent="0.25">
      <c r="B104" s="54"/>
    </row>
    <row r="105" spans="2:2" x14ac:dyDescent="0.25">
      <c r="B105" s="54"/>
    </row>
    <row r="106" spans="2:2" x14ac:dyDescent="0.25">
      <c r="B106" s="54"/>
    </row>
  </sheetData>
  <mergeCells count="8">
    <mergeCell ref="AB1:AM1"/>
    <mergeCell ref="A6:A7"/>
    <mergeCell ref="A3:A5"/>
    <mergeCell ref="A8:A10"/>
    <mergeCell ref="B1:B2"/>
    <mergeCell ref="C1:C2"/>
    <mergeCell ref="D1:O1"/>
    <mergeCell ref="P1:AA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E5FB70CD5B544A1DF90DC84F03BF7" ma:contentTypeVersion="20" ma:contentTypeDescription="Create a new document." ma:contentTypeScope="" ma:versionID="b76c6ef3c0e3fdc0038a5ae431dfd2e8">
  <xsd:schema xmlns:xsd="http://www.w3.org/2001/XMLSchema" xmlns:xs="http://www.w3.org/2001/XMLSchema" xmlns:p="http://schemas.microsoft.com/office/2006/metadata/properties" xmlns:ns2="21188391-47d1-43df-9b36-c49c70781276" xmlns:ns3="67116673-8d97-486d-bcad-c42bd8bf79e9" targetNamespace="http://schemas.microsoft.com/office/2006/metadata/properties" ma:root="true" ma:fieldsID="3e20cdea1a56228568f698505c874b39" ns2:_="" ns3:_="">
    <xsd:import namespace="21188391-47d1-43df-9b36-c49c70781276"/>
    <xsd:import namespace="67116673-8d97-486d-bcad-c42bd8bf7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88391-47d1-43df-9b36-c49c707812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e1ca4be-b428-4f1d-bf7a-e3ccf8d3e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16673-8d97-486d-bcad-c42bd8bf79e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5a33755-a47c-4b66-86ad-d914b9e0ec92}" ma:internalName="TaxCatchAll" ma:showField="CatchAllData" ma:web="67116673-8d97-486d-bcad-c42bd8bf7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16673-8d97-486d-bcad-c42bd8bf79e9" xsi:nil="true"/>
    <lcf76f155ced4ddcb4097134ff3c332f xmlns="21188391-47d1-43df-9b36-c49c707812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025945-0603-44AA-8643-FD227DFCB3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AB5A4A-E14F-4174-AFE4-16934C4CA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188391-47d1-43df-9b36-c49c70781276"/>
    <ds:schemaRef ds:uri="67116673-8d97-486d-bcad-c42bd8bf79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C7E6BC-C2E1-475C-BAA7-DA182F504549}">
  <ds:schemaRefs>
    <ds:schemaRef ds:uri="http://schemas.microsoft.com/office/2006/metadata/properties"/>
    <ds:schemaRef ds:uri="http://schemas.microsoft.com/office/infopath/2007/PartnerControls"/>
    <ds:schemaRef ds:uri="67116673-8d97-486d-bcad-c42bd8bf79e9"/>
    <ds:schemaRef ds:uri="21188391-47d1-43df-9b36-c49c707812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Marketing Material</vt:lpstr>
      <vt:lpstr>Online Channels</vt:lpstr>
      <vt:lpstr>Media and Videos</vt:lpstr>
      <vt:lpstr>Events Count</vt:lpstr>
      <vt:lpstr>Publications</vt:lpstr>
      <vt:lpstr>Reported activities</vt:lpstr>
      <vt:lpstr>Events list</vt:lpstr>
      <vt:lpstr>Stakeholder Engagement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Vassilis Voulgarakis</dc:creator>
  <cp:keywords/>
  <dc:description/>
  <cp:lastModifiedBy>Giorgios Karavasilis [ViLabs]</cp:lastModifiedBy>
  <cp:revision/>
  <dcterms:created xsi:type="dcterms:W3CDTF">2024-09-05T12:33:59Z</dcterms:created>
  <dcterms:modified xsi:type="dcterms:W3CDTF">2026-09-23T07:07:36Z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0x0101004D3E5FB70CD5B544A1DF90DC84F03BF7</vt:lpwstr>
  </property>
  <property fmtid="{D5CDD505-2E9C-101B-9397-08002B2CF9AE}" pid="3" name="MediaServiceImageTags">
    <vt:lpwstr/>
  </property>
</Properties>
</file>